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EstaPastaDeTrabalho"/>
  <mc:AlternateContent xmlns:mc="http://schemas.openxmlformats.org/markup-compatibility/2006">
    <mc:Choice Requires="x15">
      <x15ac:absPath xmlns:x15ac="http://schemas.microsoft.com/office/spreadsheetml/2010/11/ac" url="C:\Users\DJGASSS\Desktop\HBGhost\Files\"/>
    </mc:Choice>
  </mc:AlternateContent>
  <bookViews>
    <workbookView xWindow="-120" yWindow="-120" windowWidth="20616" windowHeight="7788" firstSheet="2" activeTab="4"/>
  </bookViews>
  <sheets>
    <sheet name="Dados" sheetId="1" state="hidden" r:id="rId1"/>
    <sheet name="Item Configuration" sheetId="2" state="hidden" r:id="rId2"/>
    <sheet name="Lvl-Stats Simulator" sheetId="5" r:id="rId3"/>
    <sheet name="Drop Configs" sheetId="3" r:id="rId4"/>
    <sheet name="Quest" sheetId="4" r:id="rId5"/>
  </sheet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9" i="5" l="1"/>
  <c r="E9" i="5"/>
  <c r="J8" i="5"/>
  <c r="E8" i="5"/>
  <c r="J7" i="5"/>
  <c r="E7" i="5"/>
  <c r="E2" i="5"/>
  <c r="E5" i="5" s="1"/>
  <c r="J5" i="5" l="1"/>
  <c r="D42" i="4"/>
  <c r="D43" i="4" s="1"/>
  <c r="D44" i="4" s="1"/>
  <c r="D45" i="4" s="1"/>
  <c r="D46" i="4" s="1"/>
  <c r="D47" i="4" s="1"/>
  <c r="D48" i="4" s="1"/>
  <c r="D49" i="4" s="1"/>
  <c r="D50" i="4" s="1"/>
  <c r="D51" i="4" s="1"/>
  <c r="D52" i="4" s="1"/>
  <c r="D53" i="4" s="1"/>
  <c r="D54" i="4" s="1"/>
  <c r="D55" i="4" s="1"/>
  <c r="D56" i="4" s="1"/>
  <c r="D57" i="4" s="1"/>
  <c r="D58" i="4" s="1"/>
  <c r="D59" i="4" s="1"/>
  <c r="D60" i="4" s="1"/>
  <c r="D61" i="4" s="1"/>
  <c r="D62" i="4" s="1"/>
  <c r="D63" i="4" s="1"/>
  <c r="D64" i="4" s="1"/>
  <c r="D65" i="4" s="1"/>
  <c r="D66" i="4" s="1"/>
  <c r="D67" i="4" s="1"/>
  <c r="D68" i="4" s="1"/>
  <c r="D69" i="4" s="1"/>
  <c r="D70" i="4" s="1"/>
  <c r="D71" i="4" s="1"/>
  <c r="D72" i="4" s="1"/>
  <c r="D73" i="4" s="1"/>
  <c r="D74" i="4" s="1"/>
  <c r="D75" i="4" s="1"/>
  <c r="D76" i="4" s="1"/>
  <c r="D77" i="4" s="1"/>
  <c r="D78" i="4" s="1"/>
  <c r="D79" i="4" s="1"/>
  <c r="D80" i="4" s="1"/>
  <c r="D81" i="4" s="1"/>
  <c r="D82" i="4" s="1"/>
  <c r="D83" i="4" s="1"/>
  <c r="D84" i="4" s="1"/>
  <c r="D85" i="4" s="1"/>
  <c r="D86" i="4" s="1"/>
  <c r="D87" i="4" s="1"/>
  <c r="D88" i="4" s="1"/>
  <c r="D89" i="4" s="1"/>
  <c r="D90" i="4" s="1"/>
  <c r="D91" i="4" s="1"/>
  <c r="D92" i="4" s="1"/>
  <c r="D93" i="4" s="1"/>
  <c r="D94" i="4" s="1"/>
  <c r="D95" i="4" s="1"/>
  <c r="D96" i="4" s="1"/>
  <c r="D97" i="4" s="1"/>
  <c r="D98" i="4" s="1"/>
  <c r="D99" i="4" s="1"/>
  <c r="D100" i="4" s="1"/>
  <c r="C42" i="4" l="1"/>
  <c r="C43" i="4" l="1"/>
  <c r="AB42" i="4"/>
  <c r="C44" i="4" l="1"/>
  <c r="AB43" i="4"/>
  <c r="AB44" i="4" l="1"/>
  <c r="C45" i="4"/>
  <c r="AB45" i="4" l="1"/>
  <c r="C46" i="4"/>
  <c r="C47" i="4" l="1"/>
  <c r="AB46" i="4"/>
  <c r="C48" i="4" l="1"/>
  <c r="AB47" i="4"/>
  <c r="AB48" i="4" l="1"/>
  <c r="C49" i="4"/>
  <c r="AB49" i="4" l="1"/>
  <c r="C50" i="4"/>
  <c r="C51" i="4" l="1"/>
  <c r="AB50" i="4"/>
  <c r="C52" i="4" l="1"/>
  <c r="AB51" i="4"/>
  <c r="AB52" i="4" l="1"/>
  <c r="C53" i="4"/>
  <c r="C54" i="4" l="1"/>
  <c r="AB53" i="4"/>
  <c r="C55" i="4" l="1"/>
  <c r="AB54" i="4"/>
  <c r="C56" i="4" l="1"/>
  <c r="AB55" i="4"/>
  <c r="AB56" i="4" l="1"/>
  <c r="C57" i="4"/>
  <c r="AD23" i="3"/>
  <c r="AD24" i="3" s="1"/>
  <c r="AD22" i="3"/>
  <c r="AD21" i="3"/>
  <c r="T24" i="3"/>
  <c r="T25" i="3" s="1"/>
  <c r="T26" i="3" s="1"/>
  <c r="T27" i="3" s="1"/>
  <c r="T28" i="3" s="1"/>
  <c r="T29" i="3" s="1"/>
  <c r="T23" i="3"/>
  <c r="T22" i="3"/>
  <c r="T21" i="3"/>
  <c r="T6" i="3"/>
  <c r="T7" i="3" s="1"/>
  <c r="T8" i="3" s="1"/>
  <c r="T9" i="3" s="1"/>
  <c r="T10" i="3" s="1"/>
  <c r="T11" i="3" s="1"/>
  <c r="T12" i="3" s="1"/>
  <c r="T13" i="3" s="1"/>
  <c r="T14" i="3" s="1"/>
  <c r="T15" i="3" s="1"/>
  <c r="T16" i="3" s="1"/>
  <c r="T5" i="3"/>
  <c r="T4" i="3"/>
  <c r="J6" i="3"/>
  <c r="J7" i="3"/>
  <c r="J8" i="3" s="1"/>
  <c r="J9" i="3" s="1"/>
  <c r="J10" i="3" s="1"/>
  <c r="J11" i="3" s="1"/>
  <c r="J12" i="3" s="1"/>
  <c r="J13" i="3" s="1"/>
  <c r="J14" i="3" s="1"/>
  <c r="J15" i="3" s="1"/>
  <c r="J16" i="3" s="1"/>
  <c r="J5" i="3"/>
  <c r="J4" i="3"/>
  <c r="K4" i="3" s="1"/>
  <c r="J23" i="3"/>
  <c r="J24" i="3" s="1"/>
  <c r="J25" i="3" s="1"/>
  <c r="J26" i="3" s="1"/>
  <c r="J27" i="3" s="1"/>
  <c r="J28" i="3" s="1"/>
  <c r="J22" i="3"/>
  <c r="J21" i="3"/>
  <c r="Z20" i="3"/>
  <c r="P20" i="3"/>
  <c r="F20" i="3"/>
  <c r="H28" i="3"/>
  <c r="R29" i="3"/>
  <c r="AB24" i="3"/>
  <c r="R5" i="3"/>
  <c r="R6" i="3"/>
  <c r="R7" i="3"/>
  <c r="R8" i="3"/>
  <c r="R9" i="3"/>
  <c r="R10" i="3"/>
  <c r="R11" i="3"/>
  <c r="R12" i="3"/>
  <c r="R13" i="3"/>
  <c r="R14" i="3"/>
  <c r="R15" i="3"/>
  <c r="R4" i="3"/>
  <c r="C58" i="4" l="1"/>
  <c r="AB57" i="4"/>
  <c r="K21" i="3"/>
  <c r="R16" i="3"/>
  <c r="U21" i="3"/>
  <c r="AE21" i="3"/>
  <c r="AE22" i="3" s="1"/>
  <c r="U4" i="3"/>
  <c r="AB25" i="3"/>
  <c r="Z21" i="3"/>
  <c r="M5" i="3"/>
  <c r="M6" i="3" s="1"/>
  <c r="M7" i="3" s="1"/>
  <c r="M8" i="3" s="1"/>
  <c r="M9" i="3" s="1"/>
  <c r="M10" i="3" s="1"/>
  <c r="M11" i="3" s="1"/>
  <c r="M12" i="3" s="1"/>
  <c r="M13" i="3" s="1"/>
  <c r="M14" i="3" s="1"/>
  <c r="M15" i="3" s="1"/>
  <c r="M16" i="3" s="1"/>
  <c r="R30" i="3"/>
  <c r="C59" i="4" l="1"/>
  <c r="AB58" i="4"/>
  <c r="U22" i="3"/>
  <c r="U23" i="3" s="1"/>
  <c r="U24" i="3" s="1"/>
  <c r="U25" i="3" s="1"/>
  <c r="U26" i="3" s="1"/>
  <c r="U27" i="3" s="1"/>
  <c r="U28" i="3" s="1"/>
  <c r="AE23" i="3"/>
  <c r="AE24" i="3" s="1"/>
  <c r="U5" i="3"/>
  <c r="U6" i="3" s="1"/>
  <c r="U7" i="3" s="1"/>
  <c r="U8" i="3" s="1"/>
  <c r="U9" i="3" s="1"/>
  <c r="U10" i="3" s="1"/>
  <c r="U11" i="3" s="1"/>
  <c r="U12" i="3" s="1"/>
  <c r="U13" i="3" s="1"/>
  <c r="U14" i="3" s="1"/>
  <c r="U15" i="3" s="1"/>
  <c r="U16" i="3" s="1"/>
  <c r="P21" i="3"/>
  <c r="H29" i="3"/>
  <c r="R17" i="3"/>
  <c r="P4" i="3"/>
  <c r="C60" i="4" l="1"/>
  <c r="AB59" i="4"/>
  <c r="K22" i="3"/>
  <c r="K23" i="3" s="1"/>
  <c r="K24" i="3" s="1"/>
  <c r="K25" i="3" s="1"/>
  <c r="K26" i="3" s="1"/>
  <c r="K27" i="3" s="1"/>
  <c r="K28" i="3" s="1"/>
  <c r="Z22" i="3"/>
  <c r="P22" i="3"/>
  <c r="F22" i="3"/>
  <c r="F21" i="3"/>
  <c r="C5" i="3"/>
  <c r="C6" i="3" s="1"/>
  <c r="C7" i="3" s="1"/>
  <c r="C8" i="3" s="1"/>
  <c r="C9" i="3" s="1"/>
  <c r="C10" i="3" s="1"/>
  <c r="C11" i="3" s="1"/>
  <c r="C12" i="3" s="1"/>
  <c r="C13" i="3" s="1"/>
  <c r="C14" i="3" s="1"/>
  <c r="C15" i="3" s="1"/>
  <c r="C16" i="3" s="1"/>
  <c r="B5" i="3"/>
  <c r="B6" i="3" s="1"/>
  <c r="B7" i="3" s="1"/>
  <c r="B8" i="3" s="1"/>
  <c r="B9" i="3" s="1"/>
  <c r="B10" i="3" s="1"/>
  <c r="B11" i="3" s="1"/>
  <c r="B12" i="3" s="1"/>
  <c r="B13" i="3" s="1"/>
  <c r="B14" i="3" s="1"/>
  <c r="B15" i="3" s="1"/>
  <c r="B16" i="3" s="1"/>
  <c r="H16" i="3"/>
  <c r="H17" i="3" s="1"/>
  <c r="AB60" i="4" l="1"/>
  <c r="C61" i="4"/>
  <c r="Z23" i="3"/>
  <c r="P23" i="3"/>
  <c r="F23" i="3"/>
  <c r="P5" i="3"/>
  <c r="F5" i="3"/>
  <c r="F4" i="3"/>
  <c r="E2" i="2"/>
  <c r="F2" i="2" s="1"/>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12" i="2"/>
  <c r="B11" i="2"/>
  <c r="B10" i="2"/>
  <c r="B9" i="2"/>
  <c r="B8" i="2"/>
  <c r="B7" i="2"/>
  <c r="B6" i="2"/>
  <c r="B5" i="2"/>
  <c r="B4" i="2"/>
  <c r="B3" i="2"/>
  <c r="B2" i="2"/>
  <c r="B98" i="2"/>
  <c r="H96" i="2"/>
  <c r="H97" i="2"/>
  <c r="G97" i="2"/>
  <c r="I97" i="2" s="1"/>
  <c r="C165" i="2"/>
  <c r="A165" i="2"/>
  <c r="C164" i="2"/>
  <c r="A164" i="2"/>
  <c r="D163" i="2"/>
  <c r="E163" i="2" s="1"/>
  <c r="C163" i="2"/>
  <c r="A163" i="2"/>
  <c r="C162" i="2"/>
  <c r="A162" i="2"/>
  <c r="D162" i="2" s="1"/>
  <c r="E162" i="2" s="1"/>
  <c r="C161" i="2"/>
  <c r="A161" i="2"/>
  <c r="C160" i="2"/>
  <c r="A160" i="2"/>
  <c r="C159" i="2"/>
  <c r="A159" i="2"/>
  <c r="D159" i="2" s="1"/>
  <c r="E159" i="2" s="1"/>
  <c r="C158" i="2"/>
  <c r="A158" i="2"/>
  <c r="C157" i="2"/>
  <c r="A157" i="2"/>
  <c r="D157" i="2" s="1"/>
  <c r="E157" i="2" s="1"/>
  <c r="C156" i="2"/>
  <c r="D156" i="2" s="1"/>
  <c r="E156" i="2" s="1"/>
  <c r="A156" i="2"/>
  <c r="C155" i="2"/>
  <c r="A155" i="2"/>
  <c r="D155" i="2" s="1"/>
  <c r="E155" i="2" s="1"/>
  <c r="C154" i="2"/>
  <c r="A154" i="2"/>
  <c r="C153" i="2"/>
  <c r="A153" i="2"/>
  <c r="D153" i="2" s="1"/>
  <c r="E153" i="2" s="1"/>
  <c r="C152" i="2"/>
  <c r="D152" i="2" s="1"/>
  <c r="E152" i="2" s="1"/>
  <c r="A152" i="2"/>
  <c r="C151" i="2"/>
  <c r="D151" i="2" s="1"/>
  <c r="E151" i="2" s="1"/>
  <c r="A151" i="2"/>
  <c r="C150" i="2"/>
  <c r="A150" i="2"/>
  <c r="D150" i="2" s="1"/>
  <c r="E150" i="2" s="1"/>
  <c r="C149" i="2"/>
  <c r="A149" i="2"/>
  <c r="C148" i="2"/>
  <c r="A148" i="2"/>
  <c r="D147" i="2"/>
  <c r="E147" i="2" s="1"/>
  <c r="C147" i="2"/>
  <c r="A147" i="2"/>
  <c r="C146" i="2"/>
  <c r="A146" i="2"/>
  <c r="D146" i="2" s="1"/>
  <c r="E146" i="2" s="1"/>
  <c r="C145" i="2"/>
  <c r="A145" i="2"/>
  <c r="C144" i="2"/>
  <c r="A144" i="2"/>
  <c r="C143" i="2"/>
  <c r="A143" i="2"/>
  <c r="D143" i="2" s="1"/>
  <c r="E143" i="2" s="1"/>
  <c r="C142" i="2"/>
  <c r="A142" i="2"/>
  <c r="C141" i="2"/>
  <c r="A141" i="2"/>
  <c r="C140" i="2"/>
  <c r="A140" i="2"/>
  <c r="C139" i="2"/>
  <c r="A139" i="2"/>
  <c r="D139" i="2" s="1"/>
  <c r="E139" i="2" s="1"/>
  <c r="C138" i="2"/>
  <c r="A138" i="2"/>
  <c r="D138" i="2" s="1"/>
  <c r="E138" i="2" s="1"/>
  <c r="C137" i="2"/>
  <c r="A137" i="2"/>
  <c r="D137" i="2" s="1"/>
  <c r="E137" i="2" s="1"/>
  <c r="C136" i="2"/>
  <c r="A136" i="2"/>
  <c r="D136" i="2" s="1"/>
  <c r="E136" i="2" s="1"/>
  <c r="C135" i="2"/>
  <c r="D135" i="2" s="1"/>
  <c r="E135" i="2" s="1"/>
  <c r="A135" i="2"/>
  <c r="C134" i="2"/>
  <c r="A134" i="2"/>
  <c r="C133" i="2"/>
  <c r="A133" i="2"/>
  <c r="C132" i="2"/>
  <c r="A132" i="2"/>
  <c r="D131" i="2"/>
  <c r="E131" i="2" s="1"/>
  <c r="C131" i="2"/>
  <c r="A131" i="2"/>
  <c r="C130" i="2"/>
  <c r="A130" i="2"/>
  <c r="D130" i="2" s="1"/>
  <c r="E130" i="2" s="1"/>
  <c r="C129" i="2"/>
  <c r="A129" i="2"/>
  <c r="D129" i="2" s="1"/>
  <c r="E129" i="2" s="1"/>
  <c r="C128" i="2"/>
  <c r="A128" i="2"/>
  <c r="D128" i="2" s="1"/>
  <c r="E128" i="2" s="1"/>
  <c r="C127" i="2"/>
  <c r="A127" i="2"/>
  <c r="D127" i="2" s="1"/>
  <c r="E127" i="2" s="1"/>
  <c r="C126" i="2"/>
  <c r="A126" i="2"/>
  <c r="C125" i="2"/>
  <c r="A125" i="2"/>
  <c r="C124" i="2"/>
  <c r="A124" i="2"/>
  <c r="C123" i="2"/>
  <c r="A123" i="2"/>
  <c r="D123" i="2" s="1"/>
  <c r="E123" i="2" s="1"/>
  <c r="C122" i="2"/>
  <c r="A122" i="2"/>
  <c r="D122" i="2" s="1"/>
  <c r="E122" i="2" s="1"/>
  <c r="C121" i="2"/>
  <c r="A121" i="2"/>
  <c r="D121" i="2" s="1"/>
  <c r="E121" i="2" s="1"/>
  <c r="C120" i="2"/>
  <c r="A120" i="2"/>
  <c r="D120" i="2" s="1"/>
  <c r="E120" i="2" s="1"/>
  <c r="C119" i="2"/>
  <c r="D119" i="2" s="1"/>
  <c r="E119" i="2" s="1"/>
  <c r="A119" i="2"/>
  <c r="C118" i="2"/>
  <c r="A118" i="2"/>
  <c r="C117" i="2"/>
  <c r="A117" i="2"/>
  <c r="C116" i="2"/>
  <c r="A116" i="2"/>
  <c r="D115" i="2"/>
  <c r="E115" i="2" s="1"/>
  <c r="C115" i="2"/>
  <c r="A115" i="2"/>
  <c r="C114" i="2"/>
  <c r="A114" i="2"/>
  <c r="D114" i="2" s="1"/>
  <c r="E114" i="2" s="1"/>
  <c r="C113" i="2"/>
  <c r="A113" i="2"/>
  <c r="D113" i="2" s="1"/>
  <c r="E113" i="2" s="1"/>
  <c r="C112" i="2"/>
  <c r="A112" i="2"/>
  <c r="D112" i="2" s="1"/>
  <c r="E112" i="2" s="1"/>
  <c r="C111" i="2"/>
  <c r="A111" i="2"/>
  <c r="D111" i="2" s="1"/>
  <c r="E111" i="2" s="1"/>
  <c r="C110" i="2"/>
  <c r="A110" i="2"/>
  <c r="C109" i="2"/>
  <c r="A109" i="2"/>
  <c r="C108" i="2"/>
  <c r="A108" i="2"/>
  <c r="C107" i="2"/>
  <c r="A107" i="2"/>
  <c r="D107" i="2" s="1"/>
  <c r="E107" i="2" s="1"/>
  <c r="C106" i="2"/>
  <c r="A106" i="2"/>
  <c r="D106" i="2" s="1"/>
  <c r="E106" i="2" s="1"/>
  <c r="C105" i="2"/>
  <c r="A105" i="2"/>
  <c r="D105" i="2" s="1"/>
  <c r="E105" i="2" s="1"/>
  <c r="C104" i="2"/>
  <c r="A104" i="2"/>
  <c r="D104" i="2" s="1"/>
  <c r="E104" i="2" s="1"/>
  <c r="C103" i="2"/>
  <c r="D103" i="2" s="1"/>
  <c r="E103" i="2" s="1"/>
  <c r="A103" i="2"/>
  <c r="C102" i="2"/>
  <c r="A102" i="2"/>
  <c r="C101" i="2"/>
  <c r="A101" i="2"/>
  <c r="C100" i="2"/>
  <c r="A100" i="2"/>
  <c r="D99" i="2"/>
  <c r="E99" i="2" s="1"/>
  <c r="C99" i="2"/>
  <c r="A99" i="2"/>
  <c r="C98" i="2"/>
  <c r="A98" i="2"/>
  <c r="D98" i="2" s="1"/>
  <c r="E98" i="2" s="1"/>
  <c r="C97" i="2"/>
  <c r="A97" i="2"/>
  <c r="D97" i="2" s="1"/>
  <c r="E97" i="2" s="1"/>
  <c r="C96" i="2"/>
  <c r="A96" i="2"/>
  <c r="D96" i="2" s="1"/>
  <c r="E96" i="2" s="1"/>
  <c r="C95" i="2"/>
  <c r="A95" i="2"/>
  <c r="D95" i="2" s="1"/>
  <c r="E95" i="2" s="1"/>
  <c r="C94" i="2"/>
  <c r="A94" i="2"/>
  <c r="C93" i="2"/>
  <c r="A93" i="2"/>
  <c r="C92" i="2"/>
  <c r="A92" i="2"/>
  <c r="C91" i="2"/>
  <c r="A91" i="2"/>
  <c r="D91" i="2" s="1"/>
  <c r="E91" i="2" s="1"/>
  <c r="C90" i="2"/>
  <c r="A90" i="2"/>
  <c r="D90" i="2" s="1"/>
  <c r="E90" i="2" s="1"/>
  <c r="C89" i="2"/>
  <c r="A89" i="2"/>
  <c r="D89" i="2" s="1"/>
  <c r="E89" i="2" s="1"/>
  <c r="C88" i="2"/>
  <c r="A88" i="2"/>
  <c r="D88" i="2" s="1"/>
  <c r="E88" i="2" s="1"/>
  <c r="C87" i="2"/>
  <c r="D87" i="2" s="1"/>
  <c r="E87" i="2" s="1"/>
  <c r="A87" i="2"/>
  <c r="C86" i="2"/>
  <c r="A86" i="2"/>
  <c r="C85" i="2"/>
  <c r="A85" i="2"/>
  <c r="C84" i="2"/>
  <c r="A84" i="2"/>
  <c r="D83" i="2"/>
  <c r="E83" i="2" s="1"/>
  <c r="C83" i="2"/>
  <c r="A83" i="2"/>
  <c r="C82" i="2"/>
  <c r="A82" i="2"/>
  <c r="D82" i="2" s="1"/>
  <c r="E82" i="2" s="1"/>
  <c r="C81" i="2"/>
  <c r="A81" i="2"/>
  <c r="D81" i="2" s="1"/>
  <c r="E81" i="2" s="1"/>
  <c r="C80" i="2"/>
  <c r="A80" i="2"/>
  <c r="D80" i="2" s="1"/>
  <c r="E80" i="2" s="1"/>
  <c r="C79" i="2"/>
  <c r="A79" i="2"/>
  <c r="D79" i="2" s="1"/>
  <c r="E79" i="2" s="1"/>
  <c r="C78" i="2"/>
  <c r="A78" i="2"/>
  <c r="C77" i="2"/>
  <c r="A77" i="2"/>
  <c r="C76" i="2"/>
  <c r="A76" i="2"/>
  <c r="C75" i="2"/>
  <c r="A75" i="2"/>
  <c r="D75" i="2" s="1"/>
  <c r="E75" i="2" s="1"/>
  <c r="C74" i="2"/>
  <c r="A74" i="2"/>
  <c r="D74" i="2" s="1"/>
  <c r="E74" i="2" s="1"/>
  <c r="C73" i="2"/>
  <c r="A73" i="2"/>
  <c r="D73" i="2" s="1"/>
  <c r="E73" i="2" s="1"/>
  <c r="C72" i="2"/>
  <c r="A72" i="2"/>
  <c r="D72" i="2" s="1"/>
  <c r="E72" i="2" s="1"/>
  <c r="C71" i="2"/>
  <c r="D71" i="2" s="1"/>
  <c r="E71" i="2" s="1"/>
  <c r="A71" i="2"/>
  <c r="C70" i="2"/>
  <c r="A70" i="2"/>
  <c r="C69" i="2"/>
  <c r="A69" i="2"/>
  <c r="C68" i="2"/>
  <c r="A68" i="2"/>
  <c r="D67" i="2"/>
  <c r="E67" i="2" s="1"/>
  <c r="C67" i="2"/>
  <c r="A67" i="2"/>
  <c r="C66" i="2"/>
  <c r="A66" i="2"/>
  <c r="D66" i="2" s="1"/>
  <c r="E66" i="2" s="1"/>
  <c r="C65" i="2"/>
  <c r="A65" i="2"/>
  <c r="D65" i="2" s="1"/>
  <c r="E65" i="2" s="1"/>
  <c r="C64" i="2"/>
  <c r="A64" i="2"/>
  <c r="D64" i="2" s="1"/>
  <c r="E64" i="2" s="1"/>
  <c r="C63" i="2"/>
  <c r="A63" i="2"/>
  <c r="D63" i="2" s="1"/>
  <c r="E63" i="2" s="1"/>
  <c r="E62" i="2"/>
  <c r="C62" i="2"/>
  <c r="A62" i="2"/>
  <c r="D62" i="2" s="1"/>
  <c r="C61" i="2"/>
  <c r="A61" i="2"/>
  <c r="D61" i="2" s="1"/>
  <c r="E61" i="2" s="1"/>
  <c r="C60" i="2"/>
  <c r="A60" i="2"/>
  <c r="C59" i="2"/>
  <c r="D59" i="2" s="1"/>
  <c r="E59" i="2" s="1"/>
  <c r="A59" i="2"/>
  <c r="C58" i="2"/>
  <c r="A58" i="2"/>
  <c r="C57" i="2"/>
  <c r="A57" i="2"/>
  <c r="C56" i="2"/>
  <c r="A56" i="2"/>
  <c r="D55" i="2"/>
  <c r="E55" i="2" s="1"/>
  <c r="C55" i="2"/>
  <c r="A55" i="2"/>
  <c r="C54" i="2"/>
  <c r="A54" i="2"/>
  <c r="C53" i="2"/>
  <c r="A53" i="2"/>
  <c r="C52" i="2"/>
  <c r="A52" i="2"/>
  <c r="C51" i="2"/>
  <c r="A51" i="2"/>
  <c r="D51" i="2" s="1"/>
  <c r="E51" i="2" s="1"/>
  <c r="C50" i="2"/>
  <c r="A50" i="2"/>
  <c r="D50" i="2" s="1"/>
  <c r="E50" i="2" s="1"/>
  <c r="C49" i="2"/>
  <c r="A49" i="2"/>
  <c r="D49" i="2" s="1"/>
  <c r="E49" i="2" s="1"/>
  <c r="C48" i="2"/>
  <c r="A48" i="2"/>
  <c r="D48" i="2" s="1"/>
  <c r="E48" i="2" s="1"/>
  <c r="C47" i="2"/>
  <c r="D47" i="2" s="1"/>
  <c r="E47" i="2" s="1"/>
  <c r="A47" i="2"/>
  <c r="C46" i="2"/>
  <c r="A46" i="2"/>
  <c r="D46" i="2" s="1"/>
  <c r="E46" i="2" s="1"/>
  <c r="C45" i="2"/>
  <c r="A45" i="2"/>
  <c r="D45" i="2" s="1"/>
  <c r="E45" i="2" s="1"/>
  <c r="C44" i="2"/>
  <c r="A44" i="2"/>
  <c r="C43" i="2"/>
  <c r="A43" i="2"/>
  <c r="D43" i="2" s="1"/>
  <c r="E43" i="2" s="1"/>
  <c r="E42" i="2"/>
  <c r="C42" i="2"/>
  <c r="A42" i="2"/>
  <c r="D42" i="2" s="1"/>
  <c r="C41" i="2"/>
  <c r="A41" i="2"/>
  <c r="D41" i="2" s="1"/>
  <c r="E41" i="2" s="1"/>
  <c r="C40" i="2"/>
  <c r="A40" i="2"/>
  <c r="D40" i="2" s="1"/>
  <c r="E40" i="2" s="1"/>
  <c r="C39" i="2"/>
  <c r="D39" i="2" s="1"/>
  <c r="E39" i="2" s="1"/>
  <c r="A39" i="2"/>
  <c r="C38" i="2"/>
  <c r="A38" i="2"/>
  <c r="D38" i="2" s="1"/>
  <c r="E38" i="2" s="1"/>
  <c r="C37" i="2"/>
  <c r="A37" i="2"/>
  <c r="D37" i="2" s="1"/>
  <c r="E37" i="2" s="1"/>
  <c r="C36" i="2"/>
  <c r="A36" i="2"/>
  <c r="C35" i="2"/>
  <c r="A35" i="2"/>
  <c r="D35" i="2" s="1"/>
  <c r="E35" i="2" s="1"/>
  <c r="C34" i="2"/>
  <c r="A34" i="2"/>
  <c r="D33" i="2"/>
  <c r="E33" i="2" s="1"/>
  <c r="C33" i="2"/>
  <c r="A33" i="2"/>
  <c r="C32" i="2"/>
  <c r="A32" i="2"/>
  <c r="C31" i="2"/>
  <c r="A31" i="2"/>
  <c r="D31" i="2" s="1"/>
  <c r="E31" i="2" s="1"/>
  <c r="E30" i="2"/>
  <c r="C30" i="2"/>
  <c r="A30" i="2"/>
  <c r="D30" i="2" s="1"/>
  <c r="C29" i="2"/>
  <c r="D29" i="2" s="1"/>
  <c r="E29" i="2" s="1"/>
  <c r="A29" i="2"/>
  <c r="C28" i="2"/>
  <c r="A28" i="2"/>
  <c r="D27" i="2"/>
  <c r="E27" i="2" s="1"/>
  <c r="C27" i="2"/>
  <c r="A27" i="2"/>
  <c r="C26" i="2"/>
  <c r="A26" i="2"/>
  <c r="D26" i="2" s="1"/>
  <c r="E26" i="2" s="1"/>
  <c r="C25" i="2"/>
  <c r="A25" i="2"/>
  <c r="D25" i="2" s="1"/>
  <c r="E25" i="2" s="1"/>
  <c r="C24" i="2"/>
  <c r="A24" i="2"/>
  <c r="C23" i="2"/>
  <c r="A23" i="2"/>
  <c r="D23" i="2" s="1"/>
  <c r="E23" i="2" s="1"/>
  <c r="C22" i="2"/>
  <c r="A22" i="2"/>
  <c r="D21" i="2"/>
  <c r="E21" i="2" s="1"/>
  <c r="C21" i="2"/>
  <c r="A21" i="2"/>
  <c r="C20" i="2"/>
  <c r="A20" i="2"/>
  <c r="C19" i="2"/>
  <c r="A19" i="2"/>
  <c r="D19" i="2" s="1"/>
  <c r="O19" i="2" s="1"/>
  <c r="O18" i="2"/>
  <c r="C18" i="2"/>
  <c r="A18" i="2"/>
  <c r="D18" i="2" s="1"/>
  <c r="C62" i="4" l="1"/>
  <c r="AB61" i="4"/>
  <c r="F11" i="3"/>
  <c r="K5" i="3"/>
  <c r="D22" i="2"/>
  <c r="E22" i="2" s="1"/>
  <c r="D28" i="2"/>
  <c r="E28" i="2" s="1"/>
  <c r="D34" i="2"/>
  <c r="E34" i="2" s="1"/>
  <c r="D53" i="2"/>
  <c r="E53" i="2" s="1"/>
  <c r="D56" i="2"/>
  <c r="E56" i="2" s="1"/>
  <c r="D58" i="2"/>
  <c r="E58" i="2" s="1"/>
  <c r="D68" i="2"/>
  <c r="E68" i="2" s="1"/>
  <c r="D70" i="2"/>
  <c r="E70" i="2" s="1"/>
  <c r="D77" i="2"/>
  <c r="E77" i="2" s="1"/>
  <c r="D84" i="2"/>
  <c r="E84" i="2" s="1"/>
  <c r="D86" i="2"/>
  <c r="E86" i="2" s="1"/>
  <c r="D93" i="2"/>
  <c r="E93" i="2" s="1"/>
  <c r="D100" i="2"/>
  <c r="E100" i="2" s="1"/>
  <c r="D102" i="2"/>
  <c r="E102" i="2" s="1"/>
  <c r="D109" i="2"/>
  <c r="E109" i="2" s="1"/>
  <c r="D116" i="2"/>
  <c r="E116" i="2" s="1"/>
  <c r="D118" i="2"/>
  <c r="E118" i="2" s="1"/>
  <c r="D125" i="2"/>
  <c r="E125" i="2" s="1"/>
  <c r="D132" i="2"/>
  <c r="E132" i="2" s="1"/>
  <c r="D134" i="2"/>
  <c r="E134" i="2" s="1"/>
  <c r="D141" i="2"/>
  <c r="E141" i="2" s="1"/>
  <c r="D144" i="2"/>
  <c r="E144" i="2" s="1"/>
  <c r="D160" i="2"/>
  <c r="E160" i="2" s="1"/>
  <c r="D145" i="2"/>
  <c r="E145" i="2" s="1"/>
  <c r="D148" i="2"/>
  <c r="E148" i="2" s="1"/>
  <c r="D154" i="2"/>
  <c r="E154" i="2" s="1"/>
  <c r="D161" i="2"/>
  <c r="E161" i="2" s="1"/>
  <c r="D164" i="2"/>
  <c r="E164" i="2" s="1"/>
  <c r="D24" i="2"/>
  <c r="E24" i="2" s="1"/>
  <c r="D54" i="2"/>
  <c r="E54" i="2" s="1"/>
  <c r="D57" i="2"/>
  <c r="E57" i="2" s="1"/>
  <c r="D69" i="2"/>
  <c r="E69" i="2" s="1"/>
  <c r="D76" i="2"/>
  <c r="E76" i="2" s="1"/>
  <c r="D78" i="2"/>
  <c r="E78" i="2" s="1"/>
  <c r="D85" i="2"/>
  <c r="E85" i="2" s="1"/>
  <c r="D92" i="2"/>
  <c r="E92" i="2" s="1"/>
  <c r="D94" i="2"/>
  <c r="E94" i="2" s="1"/>
  <c r="D101" i="2"/>
  <c r="E101" i="2" s="1"/>
  <c r="D108" i="2"/>
  <c r="E108" i="2" s="1"/>
  <c r="D110" i="2"/>
  <c r="E110" i="2" s="1"/>
  <c r="D117" i="2"/>
  <c r="E117" i="2" s="1"/>
  <c r="D124" i="2"/>
  <c r="E124" i="2" s="1"/>
  <c r="D126" i="2"/>
  <c r="E126" i="2" s="1"/>
  <c r="D133" i="2"/>
  <c r="E133" i="2" s="1"/>
  <c r="D140" i="2"/>
  <c r="E140" i="2" s="1"/>
  <c r="D142" i="2"/>
  <c r="E142" i="2" s="1"/>
  <c r="D149" i="2"/>
  <c r="E149" i="2" s="1"/>
  <c r="D158" i="2"/>
  <c r="E158" i="2" s="1"/>
  <c r="D165" i="2"/>
  <c r="E165" i="2" s="1"/>
  <c r="Z24" i="3"/>
  <c r="P24" i="3"/>
  <c r="F24" i="3"/>
  <c r="F6" i="3"/>
  <c r="P6" i="3"/>
  <c r="G2" i="2"/>
  <c r="D36" i="2"/>
  <c r="E36" i="2" s="1"/>
  <c r="D20" i="2"/>
  <c r="E20" i="2" s="1"/>
  <c r="D32" i="2"/>
  <c r="E32" i="2" s="1"/>
  <c r="D44" i="2"/>
  <c r="E44" i="2" s="1"/>
  <c r="D52" i="2"/>
  <c r="E52" i="2" s="1"/>
  <c r="D60" i="2"/>
  <c r="E60" i="2" s="1"/>
  <c r="C17" i="2"/>
  <c r="C16" i="2"/>
  <c r="C15" i="2"/>
  <c r="C14" i="2"/>
  <c r="C13" i="2"/>
  <c r="C12" i="2"/>
  <c r="C11" i="2"/>
  <c r="C10" i="2"/>
  <c r="C9" i="2"/>
  <c r="C8" i="2"/>
  <c r="C7" i="2"/>
  <c r="C6" i="2"/>
  <c r="C5" i="2"/>
  <c r="C4" i="2"/>
  <c r="C3" i="2"/>
  <c r="C2" i="2"/>
  <c r="A17" i="2"/>
  <c r="D17" i="2" s="1"/>
  <c r="O17" i="2" s="1"/>
  <c r="A16" i="2"/>
  <c r="D16" i="2" s="1"/>
  <c r="O16" i="2" s="1"/>
  <c r="A15" i="2"/>
  <c r="D15" i="2" s="1"/>
  <c r="O15" i="2" s="1"/>
  <c r="A14" i="2"/>
  <c r="D14" i="2" s="1"/>
  <c r="O14" i="2" s="1"/>
  <c r="A13" i="2"/>
  <c r="D13" i="2" s="1"/>
  <c r="O13" i="2" s="1"/>
  <c r="A12" i="2"/>
  <c r="D12" i="2" s="1"/>
  <c r="O12" i="2" s="1"/>
  <c r="A11" i="2"/>
  <c r="D11" i="2" s="1"/>
  <c r="O11" i="2" s="1"/>
  <c r="A10" i="2"/>
  <c r="D10" i="2" s="1"/>
  <c r="O10" i="2" s="1"/>
  <c r="A9" i="2"/>
  <c r="D9" i="2" s="1"/>
  <c r="O9" i="2" s="1"/>
  <c r="A8" i="2"/>
  <c r="D8" i="2" s="1"/>
  <c r="A7" i="2"/>
  <c r="D7" i="2" s="1"/>
  <c r="A6" i="2"/>
  <c r="D6" i="2" s="1"/>
  <c r="A5" i="2"/>
  <c r="D5" i="2" s="1"/>
  <c r="A4" i="2"/>
  <c r="D4" i="2" s="1"/>
  <c r="A3" i="2"/>
  <c r="D3" i="2" s="1"/>
  <c r="A2" i="2"/>
  <c r="C63" i="4" l="1"/>
  <c r="AB62" i="4"/>
  <c r="F8" i="3"/>
  <c r="F9" i="3"/>
  <c r="F10" i="3"/>
  <c r="F16" i="3"/>
  <c r="F7" i="3"/>
  <c r="K6" i="3"/>
  <c r="K7" i="3" s="1"/>
  <c r="K8" i="3" s="1"/>
  <c r="K9" i="3" s="1"/>
  <c r="K10" i="3" s="1"/>
  <c r="P25" i="3"/>
  <c r="F25" i="3"/>
  <c r="P7" i="3"/>
  <c r="H2" i="2"/>
  <c r="C64" i="4" l="1"/>
  <c r="AB63" i="4"/>
  <c r="K11" i="3"/>
  <c r="K12" i="3" s="1"/>
  <c r="K13" i="3" s="1"/>
  <c r="K14" i="3" s="1"/>
  <c r="K15" i="3" s="1"/>
  <c r="K16" i="3" s="1"/>
  <c r="F12" i="3"/>
  <c r="F13" i="3"/>
  <c r="F15" i="3"/>
  <c r="F14" i="3"/>
  <c r="P26" i="3"/>
  <c r="F26" i="3"/>
  <c r="F27" i="3"/>
  <c r="P8" i="3"/>
  <c r="I2" i="2"/>
  <c r="J2" i="2" s="1"/>
  <c r="K2" i="2" s="1"/>
  <c r="L2" i="2" s="1"/>
  <c r="C65" i="4" l="1"/>
  <c r="AB64" i="4"/>
  <c r="P29" i="3"/>
  <c r="P27" i="3"/>
  <c r="F28" i="3"/>
  <c r="P9" i="3"/>
  <c r="M2" i="2"/>
  <c r="N2" i="2" s="1"/>
  <c r="C66" i="4" l="1"/>
  <c r="AB65" i="4"/>
  <c r="P28" i="3"/>
  <c r="P10" i="3"/>
  <c r="O2" i="2"/>
  <c r="C67" i="4" l="1"/>
  <c r="AB66" i="4"/>
  <c r="P11" i="3"/>
  <c r="P2" i="2"/>
  <c r="Q2" i="2" s="1"/>
  <c r="C68" i="4" l="1"/>
  <c r="AB67" i="4"/>
  <c r="P12" i="3"/>
  <c r="R2" i="2"/>
  <c r="AB68" i="4" l="1"/>
  <c r="C69" i="4"/>
  <c r="P13" i="3"/>
  <c r="S2" i="2"/>
  <c r="T2" i="2" s="1"/>
  <c r="C70" i="4" l="1"/>
  <c r="AB69" i="4"/>
  <c r="P14" i="3"/>
  <c r="U2" i="2"/>
  <c r="V2" i="2" s="1"/>
  <c r="W2" i="2" s="1"/>
  <c r="X2" i="2" s="1"/>
  <c r="Y2" i="2" s="1"/>
  <c r="Z2" i="2" s="1"/>
  <c r="AA2" i="2" s="1"/>
  <c r="AB2" i="2" s="1"/>
  <c r="AC2" i="2" s="1"/>
  <c r="AD2" i="2" s="1"/>
  <c r="AE2" i="2" s="1"/>
  <c r="C71" i="4" l="1"/>
  <c r="AB70" i="4"/>
  <c r="P15" i="3"/>
  <c r="P16" i="3"/>
  <c r="E3" i="2"/>
  <c r="C72" i="4" l="1"/>
  <c r="AB71" i="4"/>
  <c r="AB72" i="4" l="1"/>
  <c r="C73" i="4"/>
  <c r="C74" i="4" l="1"/>
  <c r="AB73" i="4"/>
  <c r="AB74" i="4" l="1"/>
  <c r="C75" i="4"/>
  <c r="AB75" i="4" l="1"/>
  <c r="C76" i="4"/>
  <c r="AB76" i="4" l="1"/>
  <c r="C77" i="4"/>
  <c r="AB77" i="4" l="1"/>
  <c r="C78" i="4"/>
  <c r="C79" i="4" l="1"/>
  <c r="AB78" i="4"/>
  <c r="C80" i="4" l="1"/>
  <c r="AB79" i="4"/>
  <c r="AB80" i="4" l="1"/>
  <c r="C81" i="4"/>
  <c r="C82" i="4" l="1"/>
  <c r="AB81" i="4"/>
  <c r="C83" i="4" l="1"/>
  <c r="AB82" i="4"/>
  <c r="C84" i="4" l="1"/>
  <c r="AB83" i="4"/>
  <c r="AB84" i="4" l="1"/>
  <c r="C85" i="4"/>
  <c r="C86" i="4" l="1"/>
  <c r="AB85" i="4"/>
  <c r="C87" i="4" l="1"/>
  <c r="AB86" i="4"/>
  <c r="C88" i="4" l="1"/>
  <c r="AB87" i="4"/>
  <c r="AB88" i="4" l="1"/>
  <c r="C89" i="4"/>
  <c r="C90" i="4" l="1"/>
  <c r="AB89" i="4"/>
  <c r="C91" i="4" l="1"/>
  <c r="AB90" i="4"/>
  <c r="AB91" i="4" l="1"/>
  <c r="C92" i="4"/>
  <c r="AB92" i="4" l="1"/>
  <c r="C93" i="4"/>
  <c r="C94" i="4" l="1"/>
  <c r="AB93" i="4"/>
  <c r="C95" i="4" l="1"/>
  <c r="AB94" i="4"/>
  <c r="C96" i="4" l="1"/>
  <c r="AB95" i="4"/>
  <c r="AB96" i="4" l="1"/>
  <c r="C97" i="4"/>
  <c r="C98" i="4" l="1"/>
  <c r="AB97" i="4"/>
  <c r="C99" i="4" l="1"/>
  <c r="AB98" i="4"/>
  <c r="AB99" i="4" l="1"/>
  <c r="C100" i="4"/>
  <c r="AB100" i="4" s="1"/>
</calcChain>
</file>

<file path=xl/sharedStrings.xml><?xml version="1.0" encoding="utf-8"?>
<sst xmlns="http://schemas.openxmlformats.org/spreadsheetml/2006/main" count="657" uniqueCount="338">
  <si>
    <t>Item = 1 Dagger 1 8 1 2 6 1 2 6 7 300 0 1 0 25 200 1 0 0 0 0 -10 7 1 0 -1 -1 -1</t>
  </si>
  <si>
    <t>Item = 2 Dagger(S.C) 1 8 1 2 5 1 2 4 1 800 0 1 0 -55 200 1 0 0 0 0 -10 7 1 0 -1 -1 -1</t>
  </si>
  <si>
    <t>Item = 3 Dagger(Swd.breaker) 1 8 1 2 5 1 2 4 1 1 0 1 0 -55 200 1 0 0 0 0 -10 7 1 0 -1 -1 -1</t>
  </si>
  <si>
    <t>Item = 4 Dagger+1 1 8 1 2 6 2 2 5 2 800 0 1 0 100 200 1 0 10 0 0 -10 7 1 0 -1 -1 -1</t>
  </si>
  <si>
    <t>Item = 6 KightDagger 1 8 1 2 5 1 2 4 1 800 0 1 0 -35 200 1 0 0 0 0 -10 7 1 0 -1 -1 -1</t>
  </si>
  <si>
    <t>Item = 7 Dirk 1 8 1 2 5 1 2 4 1 800 0 1 0 -35 200 1 0 0 0 0 -10 7 1 0 -1 -1 -1</t>
  </si>
  <si>
    <t>Item = 8 ShortSword 1 8 1 2 7 1 2 6 1 500 0 1 1 50 800 2 2 0 0 0 -5 7 1 0 -1 -1 -1</t>
  </si>
  <si>
    <t>Item = 9 ShortSword+1 1 8 1 2 7 2 2 6 2 800 0 1 1 200 800 2 2 10 0 0 -5 7 1 0 -1 -1 -1</t>
  </si>
  <si>
    <t>Item = 11 ShortSword(S.C) 1 8 1 2 7 1 2 6 1 800 0 1 1 -100 800 2 2 0 0 0 -5 7 1 0 -1 -1 -1</t>
  </si>
  <si>
    <t>Item = 12 MainGauche 1 8 1 2 8 1 2 7 1 500 0 1 1 50 800 2 2 0 0 0 -2 7 1 0 -1 -1 -1</t>
  </si>
  <si>
    <t>Item = 13 MainGauche+1 1 8 1 2 8 2 2 7 2 800 0 1 1 200 800 2 2 15 0 0 -2 7 1 0 -1 -1 -1</t>
  </si>
  <si>
    <t>Item = 14 MainGauche(S.C) 1 8 1 2 7 1 2 5 1 800 0 1 1 -100 800 2 2 0 0 0 -2 7 1 0 -1 -1 -1</t>
  </si>
  <si>
    <t>Item = 15 Gradius 1 8 1 2 9 1 2 8 1 500 0 1 1 90 800 2 2 0 0 0 -2 7 1 0 -1 -1 -1</t>
  </si>
  <si>
    <t>Item = 16 Gradius+1 1 8 1 2 9 2 2 8 2 800 0 1 1 350 800 2 2 20 0 0 -2 7 1 0 -1 -1 -1</t>
  </si>
  <si>
    <t>Item = 17 LongSword 1 8 1 2 10 1 2 11 1 800 0 1 2 180 1400 3 6 0 0 -1 0 8 1 0 -1 -1 -1</t>
  </si>
  <si>
    <t>Item = 18 LongSword+1 1 8 1 2 10 2 2 11 2 1400 0 1 2 650 1400 3 6 25 0 -1 0 8 1 0 -1 -1 -1</t>
  </si>
  <si>
    <t>Item = 19 LongSword+2 1 8 1 2 10 3 2 11 3 1400 0 1 2 -2600 1600 3 6 50 0 -1 0 8 1 0 -1 -1 -1</t>
  </si>
  <si>
    <t>Item = 20 Excaliber 1 8 1 3 11 5 3 13 5 8000 0 1 19 -31000 4000 5 0 0 0 -1 0 8 1 0 -1 -1 -1</t>
  </si>
  <si>
    <t>Item = 22 LongSword(S.C) 1 8 1 2 9 1 2 13 1 1400 0 1 2 -250 1400 3 6 0 0 -1 0 8 1 0 -1 -1 -1</t>
  </si>
  <si>
    <t>Item = 23 Sabre 1 8 1 2 9 1 2 10 1 800 0 1 3 150 1200 4 5 0 0 -1 0 8 1 0 -1 -1 -1</t>
  </si>
  <si>
    <t>Item = 24 Sabre+1 1 8 1 2 9 2 2 10 2 1000 0 1 3 600 1200 4 5 20 0 -1 0 8 1 0 -1 -1 -1</t>
  </si>
  <si>
    <t>Item = 25 Scimitar 1 8 1 2 11 1 2 13 1 800 0 1 4 200 1800 6 6 0 0 -1 3 8 1 0 -1 -1 -1</t>
  </si>
  <si>
    <t>Item = 26 Scimitar+1 1 8 1 2 11 2 2 13 2 1000 0 1 4 800 1800 6 6 30 0 -1 3 8 1 0 -1 -1 -1</t>
  </si>
  <si>
    <t>Item = 27 Scimitar+2 1 8 1 2 11 3 2 13 3 1000 0 1 4 -3200 2000 6 6 70 0 -1 3 8 1 0 -1 -1 -1</t>
  </si>
  <si>
    <t>Item = 28 Falchion   1 8 1 2 1 1 3 8 1 800 0 1 5 250 2200 6 6 0 0 -2 2 8 1 0 -1 -1 -1</t>
  </si>
  <si>
    <t>Item = 29 Falchion+1 1 8 1 2 2 2 3 8 2 1400 0 1 5 1000 2200 6 6 35 0 -2 2 8 1 0 -1 -1 -1</t>
  </si>
  <si>
    <t>Item = 30 Falchion+2 1 8 1 2 2 3 3 8 3 1400 0 1 5 -4000 2200 6 6 70 0 -2 2 8 1 0 -1 -1 -1</t>
  </si>
  <si>
    <t>Item = 31 Esterk   1 8 1 2 1 1 2 13 1 800 0 1 6 400 1200 7 4 0 0 0 0 9 1 0 -1 -1 -1</t>
  </si>
  <si>
    <t>Item = 32 Esterk+1 1 8 1 2 1 2 2 13 2 1400 0 1 6 800 1200 7 4 20 0 0 0 9 1 0 -1 -1 -1</t>
  </si>
  <si>
    <t>Item = 33 Esterk+2 1 8 1 2 1 3 2 13 3 1400 0 1 6 -3200 1200 7 4 70 0 0 0 9 1 0 -1 -1 -1</t>
  </si>
  <si>
    <t>Item = 34 Rapier 1 8 1 2 8 1 2 11 1 800 0 1 6 300 1100 7 3 0 0 0 0 9 1 0 -1 -1 -1</t>
  </si>
  <si>
    <t>Item = 35 Rapier+1 1 8 1 2 8 2 2 11 2 1000 0 1 6 1300 1100 7 3 30 0 0 0 9 1 0 -1 -1 -1</t>
  </si>
  <si>
    <t>Item = 36 Rapier+2 1 8 1 2 8 3 2 11 3 1000 0 1 6 -5200 1100 7 3 70 0 0 0 9 1 0 -1 -1 -1</t>
  </si>
  <si>
    <t>Item = 37 TemplerSword 1 8 1 2 9 1 2 13 1 1000 0 1 6 -1000 1200 7 5 0 0 -1 1 8 1 0 -1 -1 -1</t>
  </si>
  <si>
    <t>Item = 38 BroadSword   1 9 1 3 1 1 3 9 1 800 0 1 7 250 2800 8 6 0 0 -3 2 8 1 0 -1 -1 -1</t>
  </si>
  <si>
    <t>Item = 39 BroadSword+1 1 9 1 3 1 1 3 9 2 1400 0 1 7 1100 2800 8 6 30 0 -3 2 8 1 0 -1 -1 -1</t>
  </si>
  <si>
    <t>Item = 40 BroadSword+2 1 9 1 3 1 2 3 9 3 1400 0 1 7 -4400 2800 8 6 70 0 -3 2 8 1 0 -1 -1 -1</t>
  </si>
  <si>
    <t>Item = 41 BroadSword(S.C) 1 9 1 3 8 1 3 9 1 1400 0 1 7 -400 2800 8 6 0 0 -3 2 8 1 0 -1 -1 -1</t>
  </si>
  <si>
    <t>Item = 42 BastadSword   1 9 1 1 2 1 3 10 1 800 0 1 8 300 3300 9 6 0 0 -4 3 8 1 0 -1 -1 -1</t>
  </si>
  <si>
    <t>Item = 43 BastadSword+1 1 9 1 1 2 2 3 10 2 1400 0 1 8 1200 3300 9 6 35 0 -4 3 8 1 0 -1 -1 -1</t>
  </si>
  <si>
    <t>Item = 44 BastadSword+2 1 9 1 1 2 3 3 10 3 1400 0 1 8 -4800 3300 9 6 70 0 -4 3 8 1 0 -1 -1 -1</t>
  </si>
  <si>
    <t>Item = 45 BastadSword(S.C) 1 9 1 1 2 4 3 10 1 1400 0 1 8 -450 3300 9 6 0 0 -4 3 8 1 0 -1 -1 -1</t>
  </si>
  <si>
    <t>Item = 46 Claymore   1 9 1 1 1 1 3 11 1 1000 0 1 9 400 4000 10 7 0 0 -5 4 8 1 0 -1 -1 -1</t>
  </si>
  <si>
    <t>Item = 47 Claymore+1 1 9 1 1 1 2 3 11 2 1400 0 1 9 1800 4000 10 7 40 0 -5 4 8 1 0 -1 -1 -1</t>
  </si>
  <si>
    <t>Item = 48 Claymore+2 1 9 1 3 1 1 4 11 3 1400 0 1 9 -7200 4000 10 7 70 0 -5 4 8 1 0 -1 -1 -1</t>
  </si>
  <si>
    <t>Item = 49 Claymore(S.C) 1 9 1 1 1 5 3 11 1 1400 0 1 9 -600 4000 10 7 0 0 -5 4 8 1 0 -1 -1 -1</t>
  </si>
  <si>
    <t>Item = 50 GreatSword   1 9 1 1 2 1 2 12 1 1000 0 1 10 500 5200 11 8 0 0 -8 5 8 1 0 -1 -1 -1</t>
  </si>
  <si>
    <t>Item = 51 GreatSword+1 1 9 1 1 2 2 3 12 2 1400 0 1 10 2300 5200 11 8 50 0 -8 5 8 1 0 -1 -1 -1</t>
  </si>
  <si>
    <t>Item = 52 GreatSword+2 1 9 1 1 2 3 3 12 3 1400 0 1 10 -9200 5200 11 8 70 0 -8 5 8 1 0 -1 -1 -1</t>
  </si>
  <si>
    <t>Item = 53 GreatSword(S.C) 1 9 1 3 11 1 3 12 1 1400 0 1 10 -700 5200 11 8 0 0 -8 5 8 1 0 -1 -1 -1</t>
  </si>
  <si>
    <t>Item = 54 Flameberge 1 9 1 1 2 1 3 13 1 1000 0 1 11 700 6000 12 10 0 0 -15 10 8 1 0 -1 -1 -1</t>
  </si>
  <si>
    <t>Item = 55 Flameberge+1 1 9 1 2 1 2 3 13 2 1400 0 1 11 3300 6000 12 10 60 0 -15 10 8 1 0 -1 -1 -1</t>
  </si>
  <si>
    <t>Item = 56 Flameberge+2 1 9 1 3 12 3 3 13 3 1400 0 1 11 -13200 6000 12 10 70 0 -15 10 8 1 0 -1 -1 -1</t>
  </si>
  <si>
    <t>Item = 57 Flameberge(S.C) 1 9 1 3 12 1 3 13 1 1400 0 1 11 -1000 6000 12 10 0 0 -15 10 8 1 0 -1 -1 -1</t>
  </si>
  <si>
    <t>Item = 59 LightAxe 1 8 1 2 7 1 2 8 1 500 0 15 2 100 1400 22 3 0 0 0 0 10 1 0 -1 -1 -1</t>
  </si>
  <si>
    <t>Item = 60 LightAxe+1 1 8 1 2 7 2 2 8 2 500 0 15 2 350 1400 22 3 10 0 0 0 10 1 0 -1 -1 -1</t>
  </si>
  <si>
    <t>Item = 61 LightAxe+2 1 8 1 2 7 3 2 8 3 500 0 15 2 -1400 1400 22 3 70 0 0 0 10 1 0 -1 -1 -1</t>
  </si>
  <si>
    <t>Item = 62 Tomahoc 1 8 1 3 4 1 3 5 1 500 0 15 2 180 1700 22 4 0 0 0 0 10 1 0 -1 -1 -1</t>
  </si>
  <si>
    <t>Item = 63 Tomahoc+1 1 8 1 3 4 2 3 5 2 500 0 15 2 700 1700 22 4 20 0 0 0 10 1 0 -1 -1 -1</t>
  </si>
  <si>
    <t>Item = 64 Tomahoc+2 1 8 1 3 4 3 3 5 3 500 0 15 2 -2800 1700 22 4 70 0 0 0 10 1 0 -1 -1 -1</t>
  </si>
  <si>
    <t>Item = 65 SexonAxe 1 8 1 3 5 1 3 6 1 700 0 15 3 200 2000 23 4 0 0 0 0 10 1 0 -1 -1 -1</t>
  </si>
  <si>
    <t>Item = 66 SexonAxe+1 1 8 1 3 5 2 3 6 2 700 0 15 3 800 2000 23 4 30 0 0 0 10 1 0 -1 -1 -1</t>
  </si>
  <si>
    <t>Item = 67 SexonAxe+2 1 8 1 3 5 3 3 6 3 700 0 15 3 -3200 2000 23 4 70 0 0 0 10 1 0 -1 -1 -1</t>
  </si>
  <si>
    <t>Item = 68 DoubleAxe 1 8 1 4 4 1 4 4 1 800 0 15 0 560 3300 20 5 0 0 0 0 10 1 0 -1 -1 -1</t>
  </si>
  <si>
    <t>Item = 69 DoubleAxe+1 1 8 1 4 4 2 4 4 2 800 0 15 0 1200 3300 20 5 40 0 0 0 10 1 0 -1 -1 -1</t>
  </si>
  <si>
    <t>Item = 70 DoubleAxe+2 1 8 1 4 4 3 4 4 3 800 0 15 0 -4800 3300 20 5 70 0 0 0 10 1 0 -1 -1 -1</t>
  </si>
  <si>
    <t>Item = 71 WarAxe   1 8 1 2 1 1 4 7 1 1000 0 15 1 700 4400 21 8 0 0 0 0 10 1 0 -1 -1 -1</t>
  </si>
  <si>
    <t>Item = 72 WarAxe+1 1 8 1 2 1 2 4 7 2 1000 0 15 1 2000 4400 21 8 60 0 0 0 10 1 0 -1 -1 -1</t>
  </si>
  <si>
    <t>Item = 73 WarAxe+2 1 8 1 2 1 3 4 7 3 1000 0 15 1 -8000 4400 21 8 70 0 0 0 10 1 0 -1 -1 -1</t>
  </si>
  <si>
    <t>Item = 74 4BladeGoldenAxe 1 8 1 4 7 1 4 7 1 2000 0 15 4 -52000 2000 24 6 60 0 0 0 10 1 0 -1 -1 -1</t>
  </si>
  <si>
    <t>Item = 75 ShortBow 1 9 3 2 7 1 2 7 1 500 0 2 0 100 800 40 4 0 0 5 0 6 3 0 -1 -1 -1</t>
  </si>
  <si>
    <t>Item = 76 LongBow 1 9 3 2 8 1 2 8 1 800 0 2 1 200 1200 41 5 0 0 0 5 6 3 0 -1 -1 -1</t>
  </si>
  <si>
    <t>Item = 77 Arrow 6 0 0 1 4 0 1 4 0 1 0 6 10 1 10 1 3 0 0 0 0 0 4 0 -1 -1 -1</t>
  </si>
  <si>
    <t>Item = 78 PoisonArrow 6 0 0 1 8 0 1 8 0 1 0 6 10 -5 10 1 5 0 0 0 0 0 4 0 -1 -1 -1</t>
  </si>
  <si>
    <t>Item = 79 WoodShield 1 7 2 8 1 1 1 1 1 300 0 3 0 100 800 1 0 0 0 0 0 11 5 0 -1 -1 -1</t>
  </si>
  <si>
    <t>Item = 80 LeatherShield 1 7 2 10 1 1 1 1 1 300 0 3 1 150 1000 2 0 0 0 0 0 11 5 0 -1 -1 -1</t>
  </si>
  <si>
    <t>Item = 81 TargeShield 1 7 2 13 1 1 1 1 1 500 0 3 2 250 1800 3 0 0 0 0 0 11 5 0 -1 -1 -1</t>
  </si>
  <si>
    <t>Item = 82 ScootermShield 1 7 2 16 1 1 1 1 1 500 0 3 3 300 2000 4 0 0 0 0 0 11 5 0 -1 -1 -1</t>
  </si>
  <si>
    <t>Item = 83 BlondeShield 1 7 2 18 1 1 1 1 1 500 0 3 4 450 2000 5 0 0 0 0 0 11 5 0 -1 -1 -1</t>
  </si>
  <si>
    <t>Item = 84 IronShield 1 7 2 22 1 1 1 1 1 500 0 3 5 700 2500 6 0 0 0 -2 0 11 5 0 -1 -1 -1</t>
  </si>
  <si>
    <t>Item = 85 LagiShield 1 7 2 26 1 1 1 1 1 800 0 3 6 1300 3000 7 0 0 0 -4 0 11 5 0 -1 -1 -1</t>
  </si>
  <si>
    <t>Item = 86 KnightShield 1 7 2 30 1 1 1 1 1 800 0 3 7 1500 3200 8 0 0 0 -8 -5 11 5 0 -1 -1 -1</t>
  </si>
  <si>
    <t>Item = 87 TowerShield 1 7 2 35 1 1 1 1 1 800 0 3 8 1800 4000 9 0 0 0 -10 -10 11 5 0 -1 -1 -1</t>
  </si>
  <si>
    <t>Item = 88 GuildAdmissionTicket 0 0 0 0 0 0 0 0 0 0 0 6 9 5 1 -1 0 0 0 0 0 -1 42 0 -1 -1 -1</t>
  </si>
  <si>
    <t>Item = 89 GuildSecessionTicket 0 0 0 0 0 0 0 0 0 0 0 6 9 5 1 -1 0 0 0 0 0 -1 42 0 -1 -1 -1</t>
  </si>
  <si>
    <t>Item = 90 Gold 5 0 0 0 0 0 0 0 0 0 0 6 0 1 1 -1 0 0 0 0 0 -1 42 0 -1 -1 -1</t>
  </si>
  <si>
    <t>Item = 91 RedPotion 7 0 4 2 12 10 0 0 0 1 0 6 1 10 30 -1 0 0 0 0 0 -1 21 0 -1 -1 -1</t>
  </si>
  <si>
    <t>Item = 92 BigRedPotion 7 0 4 3 8 40 0 0 0 1 0 6 2 65 100 -1 0 0 0 0 0 -1 21 0 -1 -1 -1</t>
  </si>
  <si>
    <t>Item = 93 BluePotion 7 0 5 2 12 10 0 0 0 1 0 6 3 10 30 -1 0 0 0 0 0 -1 21 0 -1 -1 -1</t>
  </si>
  <si>
    <t>Item = 94 BigBluePotion 7 0 5 4 8 50 0 0 0 1 0 6 4 65 100 -1 0 0 0 0 0 -1 21 0 -1 -1 -1</t>
  </si>
  <si>
    <t>Item = 95 GreenPotion 7 0 6 2 12 10 0 0 0 1 0 6 5 10 30 -1 0 0 0 0 0 -1 21 0 -1 -1 -1</t>
  </si>
  <si>
    <t>Item = 96 BigGreenPotion 7 0 6 4 8 50 0 0 0 1 0 6 6 65 100 -1 0 0 0 0 0 -1 21 0 -1 -1 -1</t>
  </si>
  <si>
    <t>Item = 97 DilutionPotion 3 0 9 23 20 0 0 0 0 1 0 6 5 200 30 -1 0 0 0 0 0 -1 42 0 -1 -1 -1</t>
  </si>
  <si>
    <t>Item = 98 Baguette 7 0 7 2 8 10 0 0 0 1 0 6 8 5 17 -1 0 0 0 0 0 -1 31 0 -1 -1 -1</t>
  </si>
  <si>
    <t>Item = 99 Meat 7 0 7 4 8 10 0 0 0 1 0 6 7 10 52 -1 0 0 0 0 0 -1 31 0 -1 -1 -1</t>
  </si>
  <si>
    <t>Item = 100 Fish 7 0 7 4 8 10 0 0 0 1 0 6 11 30 30 -1 0 0 0 0 0 -1 31 0 -1 -1 -1</t>
  </si>
  <si>
    <t>Item = 101 RedFish 7 0 7 8 4 60 0 0 0 1 0 6 14 -400 100 -1 0 0 0 0 0 -1 31 0 -1 -1 -1</t>
  </si>
  <si>
    <t>Item = 102 GreenFish 7 0 7 8 4 40 0 0 0 1 0 6 15 -200 100 -1 0 0 0 0 0 -1 31 0 -1 -1 -1</t>
  </si>
  <si>
    <t>Item = 103 YellowFish 7 0 7 8 4 30 0 0 0 1 0 6 16 -100 100 -1 0 0 0 0 0 -1 31 0 -1 -1 -1</t>
  </si>
  <si>
    <t>Item = 104 Map 9 0 10 1 0 0 0 0 0 35 0 6 9 30 1 -1 0 0 0 0 0 -1 42 0 -1 -1 -1</t>
  </si>
  <si>
    <t>Item = 105 FishingRod 8 0 0 1 8 0 0 0 0 200 0 14 0 100 300 -1 0 0 0 0 0 1 43 0 -1 -1 -1</t>
  </si>
  <si>
    <t>Item = 106 PretendCorpseManual 3 0 9 19 20 0 0 0 0 0 0 6 92 100 1 -1 0 0 0 0 0 -1 42 0 -1 -1 -1</t>
  </si>
  <si>
    <t>Item = 107 ArcheryManual 3 0 9 6 20 0 0 0 0 0 0 6 92 100 1 -1 0 0 0 0 0 -1 42 0 -1 -1 -1</t>
  </si>
  <si>
    <t>Item = 108 ShieldManual 3 0 9 11 20 0 0 0 0 0 0 6 92 100 1 -1 0 0 0 0 0 -1 42 0 -1 -1 -1</t>
  </si>
  <si>
    <t>Item = 109 LongSwordManual 3 0 9 8 20 0 0 0 0 0 0 6 92 100 1 -1 0 0 0 0 0 -1 42 0 -1 -1 -1</t>
  </si>
  <si>
    <t>Item = 110 FencingManual 3 0 9 9 20 0 0 0 0 0 0 6 92 100 1 -1 0 0 0 0 0 -1 42 0 -1 -1 -1</t>
  </si>
  <si>
    <t>Item = 111 FishingManual 3 0 9 1 20 0 0 0 0 0 0 6 92 100 1 -1 0 0 0 0 0 -1 42 0 -1 -1 -1</t>
  </si>
  <si>
    <t>Item = 112 AxeManual 3 0 9 10 20 0 0 0 0 0 0 6 92 100 1 -1 0 0 0 0 0 -1 42 0 -1 -1 -1</t>
  </si>
  <si>
    <t>Item = 113 MagicResistManual 3 0 9 3 20 0 0 0 0 0 0 6 92 500 1 -1 0 0 0 0 0 -1 42 0 -1 -1 -1</t>
  </si>
  <si>
    <t>Item = 114 RecallScroll 3 0 11 1 0 0 0 0 0 1 0 6 9 120 1 -1 0 0 0 0 0 -1 42 0 -1 -1 -1</t>
  </si>
  <si>
    <t>Item = 115 InvisibilityScroll 3 0 11 2 0 0 0 0 0 1 0 6 9 560 1 -1 0 0 0 0 0 -1 42 0 -1 -1 -1</t>
  </si>
  <si>
    <t>Item = 116 DetectInviScroll 3 0 11 3 0 0 0 0 0 1 0 6 9 330 1 -1 0 0 0 0 0 -1 42 0 -1 -1 -1</t>
  </si>
  <si>
    <t>Item = 117 BleedingIslandTicket 3 0 11 4 1 0 0 0 0 1 0 6 9 100 1 -1 0 0 0 0 0 -1 42 0 -1 -1 -1</t>
  </si>
  <si>
    <t>Item = 188 SnakeMeat 7 0 7 4 8 20 0 0 0 1 0 6 17 -57 45 1 0 0 0 0 0 -1 31 0 -1 -1 -1</t>
  </si>
  <si>
    <t>Item = 189 SnakeSkin 5 0 0 0 0 0 0 0 0 1 0 6 18 -175 20 1 0 0 0 0 0 -1 31 0 -1 -1 -1</t>
  </si>
  <si>
    <t>Item = 190 SnakeTeeth 5 0 0 0 0 0 0 0 0 1 0 6 19 -55 5 1 0 0 0 0 0 -1 31 0 -1 -1 -1</t>
  </si>
  <si>
    <t>Item = 191 SnakeTongue 5 0 0 0 0 0 0 0 0 1 0 6 20 -50 3 1 0 0 0 0 0 -1 31 0 -1 -1 -1</t>
  </si>
  <si>
    <t>Item = 192 AntLeg 5 0 0 0 0 0 0 0 0 1 0 6 21 -32 17 1 0 0 0 0 0 -1 31 0 -1 -1 -1</t>
  </si>
  <si>
    <t>Item = 193 AntFeeler 5 0 0 0 0 0 0 0 0 1 0 6 22 -34 10 1 0 0 0 0 0 -1 31 0 -1 -1 -1</t>
  </si>
  <si>
    <t>Item = 194 CyclopsEye 0 0 0 0 0 0 0 0 0 1 0 6 23 -170 330 1 0 0 0 0 0 -1 31 0 -1 -1 -1</t>
  </si>
  <si>
    <t>Item = 195 CyclopsHandEdge 0 0 0 0 0 0 0 0 0 1 0 6 24 -270 4000 1 0 0 0 0 0 -1 31 0 -1 -1 -1</t>
  </si>
  <si>
    <t>Item = 196 CyclopsHeart 0 0 0 0 0 0 0 0 0 1 0 6 25 -160 1230 1 0 0 0 0 0 -1 31 0 -1 -1 -1</t>
  </si>
  <si>
    <t>Item = 197 CyclopsMeat 7 0 7 4 8 30 0 0 0 1 0 6 26 -90 500 1 0 0 0 0 0 -1 31 0 -1 -1 -1</t>
  </si>
  <si>
    <t>Item = 198 CyclopsLeather 5 0 0 0 0 0 0 0 0 1 0 6 27 -600 350 1 0 0 0 0 0 -1 31 0 -1 -1 -1</t>
  </si>
  <si>
    <t>Item = 199 HelboundHeart 0 0 0 0 0 0 0 0 0 1 0 6 28 -90 820 1 0 0 0 0 0 -1 31 0 -1 -1 -1</t>
  </si>
  <si>
    <t>Item = 200 HelboundLeather 5 0 0 0 0 0 0 0 0 1 0 6 29 -320 200 1 0 0 0 0 0 -1 31 0 -1 -1 -1</t>
  </si>
  <si>
    <t>Item = 201 HelboundTail 5 0 0 0 0 0 0 0 0 1 0 6 30 -70 250 1 0 0 0 0 0 -1 31 0 -1 -1 -1</t>
  </si>
  <si>
    <t>Item = 202 HelboundTeeth 5 0 0 0 0 0 0 0 0 1 0 6 31 -70 130 1 0 0 0 0 0 -1 31 0 -1 -1 -1</t>
  </si>
  <si>
    <t>Item = 203 HelboundClaw 5 0 0 0 0 0 0 0 0 1 0 6 32 -70 280 1 0 0 0 0 0 -1 31 0 -1 -1 -1</t>
  </si>
  <si>
    <t>Item = 204 HelboundTongue 5 0 0 0 0 0 0 0 0 1 0 6 33 -75 150 1 0 0 0 0 0 -1 31 0 -1 -1 -1</t>
  </si>
  <si>
    <t>Item = 205 LumpofClay 5 0 0 0 0 0 0 0 0 1 0 6 34 -95 230 1 0 0 0 0 0 -1 31 0 -1 -1 -1</t>
  </si>
  <si>
    <t>Item = 206 OrcMeat 7 0 7 2 4 5 0 0 0 1 0 6 35 -50 100 1 0 0 0 0 0 -1 31 0 -1 -1 -1</t>
  </si>
  <si>
    <t>Item = 207 OrcLeather 5 0 0 0 0 0 0 0 0 1 0 6 36 -193 100 1 0 0 0 0 0 -1 31 0 -1 -1 -1</t>
  </si>
  <si>
    <t>Item = 208 OrcTeeth 5 0 0 0 0 0 0 0 0 1 0 6 37 -56 50 1 0 0 0 0 0 -1 31 0 -1 -1 -1</t>
  </si>
  <si>
    <t>Item = 209 OgreHair 5 0 0 0 0 0 0 0 0 1 0 6 38 -230 250 1 0 0 0 0 0 -1 31 0 -1 -1 -1</t>
  </si>
  <si>
    <t>Item = 210 OgreHeart 0 0 0 0 0 0 0 0 0 1 0 6 39 -340 1580 1 0 0 0 0 0 -1 31 0 -1 -1 -1</t>
  </si>
  <si>
    <t>Item = 211 OgreMeat 7 0 7 4 8 50 0 0 0 1 0 6 40 -200 710 1 0 0 0 0 0 -1 31 0 -1 -1 -1</t>
  </si>
  <si>
    <t>Item = 212 OgreLeather 5 0 0 0 0 0 0 0 0 1 0 6 41 -840 650 1 0 0 0 0 0 -1 31 0 -1 -1 -1</t>
  </si>
  <si>
    <t>Item = 213 OgreTeeth 5 0 0 0 0 0 0 0 0 1 0 6 42 -215 230 1 0 0 0 0 0 -1 31 0 -1 -1 -1</t>
  </si>
  <si>
    <t>Item = 214 OgreClaw 5 0 0 0 0 0 0 0 0 1 0 6 43 -215 370 1 0 0 0 0 0 -1 31 0 -1 -1 -1</t>
  </si>
  <si>
    <t>Item = 215 ScorpionPincers 0 0 0 0 0 0 0 0 0 1 0 6 44 -50 1200 1 0 0 0 0 0 -1 31 0 -1 -1 -1</t>
  </si>
  <si>
    <t>Item = 216 ScorpionMeat 7 0 7 4 8 25 0 0 0 1 0 6 45 -55 450 1 0 0 0 0 0 -1 31 0 -1 -1 -1</t>
  </si>
  <si>
    <t>Item = 217 ScorpionSting 0 0 0 0 0 0 0 0 0 1 0 6 46 -55 1000 1 0 0 0 0 0 -1 31 0 -1 -1 -1</t>
  </si>
  <si>
    <t>Item = 218 ScorpionSkin 5 0 0 0 0 0 0 0 0 1 0 6 47 -90 380 1 0 0 0 0 0 -1 31 0 -1 -1 -1</t>
  </si>
  <si>
    <t>Item = 219 SkeletonBones 5 0 0 0 0 0 0 0 0 1 0 6 48 -50 1300 1 0 0 0 0 0 -1 31 0 -1 -1 -1</t>
  </si>
  <si>
    <t>Item = 220 SlimeJelly 5 0 0 0 0 0 0 0 0 1 0 6 49 -10 100 1 0 0 0 0 0 -1 31 0 -1 -1 -1</t>
  </si>
  <si>
    <t>Item = 221 StoneGolemPiece 5 0 0 0 0 0 0 0 0 1 0 6 50 -50 500 1 0 0 0 0 0 -1 31 0 -1 -1 -1</t>
  </si>
  <si>
    <t>Item = 222 TrollHeart 0 0 0 0 0 0 0 0 0 1 0 6 51 -145 1050 1 0 0 0 0 0 -1 31 0 -1 -1 -1</t>
  </si>
  <si>
    <t>Item = 223 TrollMeat 7 0 7 8 4 50 0 0 0 1 0 6 52 -180 500 1 0 0 0 0 0 -1 31 0 -1 -1 -1</t>
  </si>
  <si>
    <t>Item = 224 TrollLeather 5 0 0 0 0 0 0 0 0 1 0 6 53 -335 450 1 0 0 0 0 0 -1 31 0 -1 -1 -1</t>
  </si>
  <si>
    <t>Item = 225 TrollClaw 5 0 0 0 0 0 0 0 0 1 0 6 54 -70 290 1 0 0 0 0 0 -1 31 0 -1 -1 -1</t>
  </si>
  <si>
    <t>Item = 226 AlchemyManual 3 0 9 12 20 0 0 0 0 0 0 6 92 100 1 -1 0 0 0 0 0 -1 42 0 -1 -1 -1</t>
  </si>
  <si>
    <t>Item = 227 AlchemyBowl 10 0 0 1 0 0 0 0 0 300 0 6 55 1000 700 -1 0 0 0 0 0 -1 21 0 -1 -1 -1</t>
  </si>
  <si>
    <t>Item = 230 MiningManual 3 0 9 0 20 0 0 0 0 0 0 6 92 100 1 -1 0 0 0 0 0 -1 42 0 -1 -1 -1</t>
  </si>
  <si>
    <t>Item = 231 PickAxe 1 8 1 2 4 0 2 4 0 1000 0 15 5 500 1000 25 10 0 0 0 0 0 1 0 -1 -1 -1</t>
  </si>
  <si>
    <t>Item = 232 Hoe 1 8 1 2 4 0 2 4 0 800 0 15 9 300 1000 27 5 0 0 0 0 -1 1 0 -1 -1 -1</t>
  </si>
  <si>
    <t>Item = 235 ManufacturingManual 3 0 9 13 20 0 0 0 0 0 0 6 92 100 1 -1 0 0 0 0 0 -1 42 0 -1 -1 -1</t>
  </si>
  <si>
    <t>Item = 236 ManufacturingHammer 10 0 0 1 0 0 0 0 0 300 0 6 113 1500 2000 -1 0 0 0 0 0 -1 21 0 -1 -1 -1</t>
  </si>
  <si>
    <t>Item = 237 HammerAttackManual 3 0 9 14 20 0 0 0 0 0 0 6 92 100 1 -1 0 0 0 0 0 -1 42 0 -1 -1 -1</t>
  </si>
  <si>
    <t>Item = 245 AresdenFlag(Master) 11 0 16 1 1 0 0 0 0 1 0 6 56 -100 1 -1 0 0 0 0 0 -1 42 0 -1 -1 -1</t>
  </si>
  <si>
    <t>Item = 246 ElvineFlag(Master) 11 0 16 2 1 0 0 0 0 1 0 6 57 -100 1 -1 0 0 0 0 0 -1 42 0 -1 -1 -1</t>
  </si>
  <si>
    <t>Item = 247 AresdenFlag 11 0 16 1 0 0 0 0 0 1 0 6 56 -100 1 -1 0 0 0 0 0 -1 42 0 -1 -1 -1</t>
  </si>
  <si>
    <t>Item = 248 ElvineFlag 11 0 16 2 0 0 0 0 0 1 0 6 57 -100 1 -1 0 0 0 0 0 -1 42 0 -1 -1 -1</t>
  </si>
  <si>
    <t>Item = 250 WandAttackManual 3 0 9 21 20 0 0 0 0 0 0 6 92 100 1 -1 0 0 0 0 0 -1 42 0 -1 -1 -1</t>
  </si>
  <si>
    <t>Item = 256 MagicWand(MS20) 1 8 13 2 4 0 20 0 0 3600 0 17 1 5000 1000 36 1 50 0 0 0 21 8 0 -1 -1 -1</t>
  </si>
  <si>
    <t>Item = 257 MagicWand(MS10) 1 8 13 2 4 0 10 0 0 2400 0 17 1 2500 1000 36 1 40 0 0 0 21 8 0 -1 -1 -1</t>
  </si>
  <si>
    <t>Item = 258 MagicWand(MS0) 1 8 13 2 4 0 0 0 0 1200 0 17 1 1000 1000 36 1 30 0 0 0 21 8 0 -1 -1 -1</t>
  </si>
  <si>
    <t>Item = 259 MagicWand(M.Shield) 1 8 20 2 4 0 0 0 0 5000 30 17 1 -8200 1000 36 1 0 0 0 0 21 8 0 -1 -1 -1</t>
  </si>
  <si>
    <t>Item = 270 HairColorPotion 7 0 12 1 0 0 0 0 0 1 0 6 5 -300 100 -1 0 0 0 0 0 -1 21 0 -1 -1 -1</t>
  </si>
  <si>
    <t>Item = 271 HairStylePotion 7 0 12 2 0 0 0 0 0 1 0 6 5 -400 100 -1 0 0 0 0 0 -1 21 0 -1 -1 -1</t>
  </si>
  <si>
    <t>Item = 272 SkinColorPotion 7 0 12 3 0 0 0 0 0 1 0 6 5 -500 100 -1 0 0 0 0 0 -1 21 0 -1 -1 -1</t>
  </si>
  <si>
    <t>Item = 273 InvisibilityPotion 7 0 11 2 0 0 0 0 0 1 0 6 5 -700 100 -1 0 0 0 0 0 -1 21 0 -1 -1 -1</t>
  </si>
  <si>
    <t>Item = 274 SexChangePotion 7 0 12 4 0 0 0 0 0 1 0 6 5 -4000 100 -1 0 0 0 0 0 -1 21 0 -1 -1 -1</t>
  </si>
  <si>
    <t>Item = 275 OgrePotion 7 0 11 5 8 0 0 0 0 1 0 6 5 -5000 100 -1 0 0 0 0 0 -1 21 0 -1 -1 -1</t>
  </si>
  <si>
    <t>Item = 276 UnderWearPotion 7 0 12 5 0 0 0 0 0 1 0 6 5 -4000 100 -1 0 0 0 0 0 -1 21 0 -1 -1 -1</t>
  </si>
  <si>
    <t>Item = 280 Pandora 3 0 34 0 0 0 0 0 0 0 0 6 156 1 1 -1 0 0 0 0 0 -1 42 0  -1 -1 -1</t>
  </si>
  <si>
    <t>Item = 290 Flameberge+3(LLF) 1 9 1 3 12 4 3 13 4 8000 0 1 11 -21000 6000 12 10 0 0 -15 10 8 1 0 -1 -1 -1</t>
  </si>
  <si>
    <t>Item = 291 MagicWand(MS30-LLF) 1 8 13 2 4 0 30 0 0 4800 0 17 0 -10000 1000 35 1 0 0 0 0 21 8 0 -1 -1 -1</t>
  </si>
  <si>
    <t>Item = 292 GoldenAxe(LLF) 1 8 1 3 9 1 3 9 1 2000 0 15 4 -32000 2000 24 6 0 0 0 0 10 1 0 -1 -1 -1</t>
  </si>
  <si>
    <t>Num</t>
  </si>
  <si>
    <t>Name</t>
  </si>
  <si>
    <t>Type</t>
  </si>
  <si>
    <t>1 8 1 2 6 1 2 6 7 300 0 1 0 25 200 1 0 0 0 0 -10 7 1 0 -1 -1 -1</t>
  </si>
  <si>
    <t>Sprite</t>
  </si>
  <si>
    <t>Price</t>
  </si>
  <si>
    <t>Weight</t>
  </si>
  <si>
    <t>Speed</t>
  </si>
  <si>
    <t>Cont.Price</t>
  </si>
  <si>
    <t>Ek.Price</t>
  </si>
  <si>
    <t>Coin.Price</t>
  </si>
  <si>
    <t>EquipPos</t>
  </si>
  <si>
    <t>ItemEffectType</t>
  </si>
  <si>
    <t>ItemEffectValue1</t>
  </si>
  <si>
    <t>ItemEffectValue2</t>
  </si>
  <si>
    <t>ItemEffectValue3</t>
  </si>
  <si>
    <t>ItemEffectValue4</t>
  </si>
  <si>
    <t>ItemEffectValue</t>
  </si>
  <si>
    <t>ItemEffectValue6</t>
  </si>
  <si>
    <t>MaxLifeSpan</t>
  </si>
  <si>
    <t>MaxFixCount</t>
  </si>
  <si>
    <t>SpriteFrame</t>
  </si>
  <si>
    <t>ApprValue</t>
  </si>
  <si>
    <t>m_sSpecialEffectValue1</t>
  </si>
  <si>
    <t>m_sSpecialEffectValue2</t>
  </si>
  <si>
    <t>m_cGenderLimit</t>
  </si>
  <si>
    <t>m_sLevelLimit</t>
  </si>
  <si>
    <t>m_sRelatedSkill</t>
  </si>
  <si>
    <t>m_cCategory</t>
  </si>
  <si>
    <t>m_cItemColor</t>
  </si>
  <si>
    <t>max-armor-prob</t>
  </si>
  <si>
    <t>=</t>
  </si>
  <si>
    <t>p_armor1</t>
  </si>
  <si>
    <t>p_armor2</t>
  </si>
  <si>
    <t>p_armor3</t>
  </si>
  <si>
    <t>p_armor4</t>
  </si>
  <si>
    <t>p_armor5</t>
  </si>
  <si>
    <t>p_armor6</t>
  </si>
  <si>
    <t>p_armor7</t>
  </si>
  <si>
    <t>p_armor8</t>
  </si>
  <si>
    <t>p_armor9</t>
  </si>
  <si>
    <t>p_armor10</t>
  </si>
  <si>
    <t>p_armor11</t>
  </si>
  <si>
    <t>p_armor12</t>
  </si>
  <si>
    <t>p_armor13</t>
  </si>
  <si>
    <t>Insert %%</t>
  </si>
  <si>
    <t>Value</t>
  </si>
  <si>
    <t>DR</t>
  </si>
  <si>
    <t>PA</t>
  </si>
  <si>
    <t>max-weapon-prob</t>
  </si>
  <si>
    <t>p_weapon1</t>
  </si>
  <si>
    <t>p_weapon2</t>
  </si>
  <si>
    <t>p_weapon3</t>
  </si>
  <si>
    <t>p_weapon4</t>
  </si>
  <si>
    <t>p_weapon5</t>
  </si>
  <si>
    <t>p_weapon6</t>
  </si>
  <si>
    <t>p_weapon7</t>
  </si>
  <si>
    <t>p_weapon8</t>
  </si>
  <si>
    <t>p_weapon9</t>
  </si>
  <si>
    <t>p_weapon10</t>
  </si>
  <si>
    <t>p_weapon11</t>
  </si>
  <si>
    <t>p_weapon12</t>
  </si>
  <si>
    <t>p_weapon13</t>
  </si>
  <si>
    <t>max-attr-weapon</t>
  </si>
  <si>
    <t>Strong</t>
  </si>
  <si>
    <t>Light</t>
  </si>
  <si>
    <t>SP</t>
  </si>
  <si>
    <t>HP</t>
  </si>
  <si>
    <t>MP</t>
  </si>
  <si>
    <t>MR</t>
  </si>
  <si>
    <t>MA</t>
  </si>
  <si>
    <t>PR</t>
  </si>
  <si>
    <t>Critical</t>
  </si>
  <si>
    <t>Agile</t>
  </si>
  <si>
    <t>Righteous</t>
  </si>
  <si>
    <t>Poison</t>
  </si>
  <si>
    <t>Sharp</t>
  </si>
  <si>
    <t>Ancient</t>
  </si>
  <si>
    <t>attr-weapon1</t>
  </si>
  <si>
    <t>attr-weapon2</t>
  </si>
  <si>
    <t>attr-weapon3</t>
  </si>
  <si>
    <t>attr-weapon4</t>
  </si>
  <si>
    <t>attr-weapon5</t>
  </si>
  <si>
    <t>attr-weapon6</t>
  </si>
  <si>
    <t>attr-weapon7</t>
  </si>
  <si>
    <t>attr-weapon8</t>
  </si>
  <si>
    <t>attr-weapon9</t>
  </si>
  <si>
    <t>Magics</t>
  </si>
  <si>
    <t>WEAPONS</t>
  </si>
  <si>
    <t>ARMORS</t>
  </si>
  <si>
    <t>%</t>
  </si>
  <si>
    <t>Hit Prob</t>
  </si>
  <si>
    <t>CAD</t>
  </si>
  <si>
    <t>Gold</t>
  </si>
  <si>
    <t>Exp</t>
  </si>
  <si>
    <t>max-stated-weapon</t>
  </si>
  <si>
    <t>m_iMaxStatedWeapon</t>
  </si>
  <si>
    <t>m_iMaxWeaponDrop</t>
  </si>
  <si>
    <t>m_iMaxArmorDrop</t>
  </si>
  <si>
    <t>m_iMaxStatedArmor</t>
  </si>
  <si>
    <t>m_iMaxAttrWeaponDrop</t>
  </si>
  <si>
    <t>stated-armor1</t>
  </si>
  <si>
    <t>stated-armor2</t>
  </si>
  <si>
    <t>stated-armor3</t>
  </si>
  <si>
    <t>stated-armor4</t>
  </si>
  <si>
    <t>stated-armor5</t>
  </si>
  <si>
    <t>stated-armor6</t>
  </si>
  <si>
    <t>stated-armor7</t>
  </si>
  <si>
    <t>stated-armor8</t>
  </si>
  <si>
    <t>stated-weapon1</t>
  </si>
  <si>
    <t>stated-weapon2</t>
  </si>
  <si>
    <t>stated-weapon3</t>
  </si>
  <si>
    <t>stated-weapon4</t>
  </si>
  <si>
    <t>max-stated-armor</t>
  </si>
  <si>
    <t>Ok</t>
  </si>
  <si>
    <t>ok</t>
  </si>
  <si>
    <t>Max Value&gt;</t>
  </si>
  <si>
    <t>This file is to help to manage the drop probability of the Helbreath Ghost.
Use the YELLOW Fields to edit the probability's
Copy the GREEN fields and past on DropManager.cfg on GameConfigs folder.</t>
  </si>
  <si>
    <t>Magn0S</t>
  </si>
  <si>
    <t>Quest</t>
  </si>
  <si>
    <t>ID</t>
  </si>
  <si>
    <t>Side</t>
  </si>
  <si>
    <t>ID Npc</t>
  </si>
  <si>
    <t>Qtd Kill</t>
  </si>
  <si>
    <t>Who</t>
  </si>
  <si>
    <t>Min Lvl</t>
  </si>
  <si>
    <t>Max Lvl</t>
  </si>
  <si>
    <t>X</t>
  </si>
  <si>
    <t>Reward 1</t>
  </si>
  <si>
    <t>Amount 1</t>
  </si>
  <si>
    <t>Reward 2</t>
  </si>
  <si>
    <t>Amount 2</t>
  </si>
  <si>
    <t>Reward 3</t>
  </si>
  <si>
    <t>Amount 3</t>
  </si>
  <si>
    <t>Cont. Reward</t>
  </si>
  <si>
    <t>Cont. Limit</t>
  </si>
  <si>
    <t>Response</t>
  </si>
  <si>
    <t>Map</t>
  </si>
  <si>
    <t>Y</t>
  </si>
  <si>
    <t>Range</t>
  </si>
  <si>
    <t>Req. Contri</t>
  </si>
  <si>
    <t>quest</t>
  </si>
  <si>
    <t>elvine</t>
  </si>
  <si>
    <t>aresden</t>
  </si>
  <si>
    <t>icebound</t>
  </si>
  <si>
    <t>LVL:</t>
  </si>
  <si>
    <t>Total Stats:</t>
  </si>
  <si>
    <t>WAR</t>
  </si>
  <si>
    <t>MAGE</t>
  </si>
  <si>
    <t>Str</t>
  </si>
  <si>
    <t>Pts Left:</t>
  </si>
  <si>
    <t>Dex</t>
  </si>
  <si>
    <t>Int</t>
  </si>
  <si>
    <t>Mag</t>
  </si>
  <si>
    <t>Vit</t>
  </si>
  <si>
    <t>Agi</t>
  </si>
  <si>
    <t>middleland</t>
  </si>
  <si>
    <t>procella</t>
  </si>
  <si>
    <t xml:space="preserve">elvine  </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</si>
</sst>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scheme val="minor"/>
    </font>
    <font>
      <sz val="11"/>
      <color rgb="FF000000"/>
      <name val="Calibri"/>
      <family val="2"/>
    </font>
    <font>
      <sz val="11"/>
      <color theme="1"/>
      <name val="Calibri"/>
      <family val="2"/>
      <scheme val="minor"/>
    </font>
    <font>
      <b/>
      <sz val="11"/>
      <color rgb="FF002060"/>
      <name val="Calibri"/>
      <family val="2"/>
      <scheme val="minor"/>
    </font>
    <font>
      <b/>
      <sz val="11"/>
      <color theme="0"/>
      <name val="Calibri"/>
      <family val="2"/>
      <scheme val="minor"/>
    </font>
    <font>
      <b/>
      <sz val="11"/>
      <color theme="1"/>
      <name val="Calibri"/>
      <family val="2"/>
      <scheme val="minor"/>
    </font>
    <font>
      <sz val="9"/>
      <color theme="1"/>
      <name val="Calibri"/>
      <family val="2"/>
      <scheme val="minor"/>
    </font>
    <font>
      <sz val="11"/>
      <color theme="0"/>
      <name val="Calibri"/>
      <family val="2"/>
      <scheme val="minor"/>
    </font>
  </fonts>
  <fills count="9">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rgb="FF92D050"/>
        <bgColor indexed="64"/>
      </patternFill>
    </fill>
    <fill>
      <patternFill patternType="solid">
        <fgColor rgb="FFFFC000"/>
        <bgColor indexed="64"/>
      </patternFill>
    </fill>
    <fill>
      <patternFill patternType="solid">
        <fgColor theme="2" tint="-9.9978637043366805E-2"/>
        <bgColor indexed="64"/>
      </patternFill>
    </fill>
    <fill>
      <patternFill patternType="solid">
        <fgColor rgb="FFFF0000"/>
        <bgColor indexed="64"/>
      </patternFill>
    </fill>
    <fill>
      <patternFill patternType="solid">
        <fgColor rgb="FF00B0F0"/>
        <bgColor indexed="64"/>
      </patternFill>
    </fill>
  </fills>
  <borders count="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9" fontId="2" fillId="0" borderId="0" applyFont="0" applyFill="0" applyBorder="0" applyAlignment="0" applyProtection="0"/>
  </cellStyleXfs>
  <cellXfs count="47">
    <xf numFmtId="0" fontId="0" fillId="0" borderId="0" xfId="0"/>
    <xf numFmtId="0" fontId="0" fillId="0" borderId="0" xfId="0" applyAlignment="1">
      <alignment horizontal="center" textRotation="90"/>
    </xf>
    <xf numFmtId="10" fontId="0" fillId="0" borderId="0" xfId="0" applyNumberFormat="1"/>
    <xf numFmtId="0" fontId="0" fillId="0" borderId="0" xfId="0" applyAlignment="1">
      <alignment horizontal="center"/>
    </xf>
    <xf numFmtId="0" fontId="0" fillId="0" borderId="0" xfId="0" applyBorder="1"/>
    <xf numFmtId="10" fontId="0" fillId="0" borderId="0" xfId="1" applyNumberFormat="1" applyFont="1" applyFill="1"/>
    <xf numFmtId="0" fontId="3" fillId="0" borderId="0" xfId="0" applyFont="1"/>
    <xf numFmtId="0" fontId="0" fillId="0" borderId="0" xfId="0" applyAlignment="1">
      <alignment horizontal="right"/>
    </xf>
    <xf numFmtId="0" fontId="0" fillId="0" borderId="0" xfId="0" applyFill="1" applyBorder="1"/>
    <xf numFmtId="0" fontId="0" fillId="0" borderId="0" xfId="0" applyFill="1" applyBorder="1" applyAlignment="1">
      <alignment horizontal="center"/>
    </xf>
    <xf numFmtId="0" fontId="0" fillId="0" borderId="0" xfId="0" applyFill="1"/>
    <xf numFmtId="0" fontId="0" fillId="0" borderId="0" xfId="0" applyFill="1" applyAlignment="1">
      <alignment horizontal="left"/>
    </xf>
    <xf numFmtId="0" fontId="0" fillId="0" borderId="0" xfId="0" applyBorder="1" applyAlignment="1">
      <alignment horizontal="center"/>
    </xf>
    <xf numFmtId="0" fontId="0" fillId="2" borderId="0" xfId="0" applyFill="1" applyAlignment="1">
      <alignment horizontal="center"/>
    </xf>
    <xf numFmtId="0" fontId="6" fillId="0" borderId="0" xfId="0" applyFont="1" applyFill="1"/>
    <xf numFmtId="10" fontId="0" fillId="0" borderId="0" xfId="1" applyNumberFormat="1" applyFont="1" applyFill="1" applyAlignment="1">
      <alignment horizontal="center"/>
    </xf>
    <xf numFmtId="10" fontId="0" fillId="0" borderId="0" xfId="0" applyNumberFormat="1" applyAlignment="1">
      <alignment horizontal="center"/>
    </xf>
    <xf numFmtId="0" fontId="0" fillId="4" borderId="1" xfId="0" applyFill="1" applyBorder="1" applyProtection="1">
      <protection locked="0"/>
    </xf>
    <xf numFmtId="0" fontId="0" fillId="4" borderId="2" xfId="0" applyFill="1" applyBorder="1" applyProtection="1">
      <protection locked="0"/>
    </xf>
    <xf numFmtId="0" fontId="0" fillId="4" borderId="3" xfId="0" applyFill="1" applyBorder="1" applyAlignment="1" applyProtection="1">
      <alignment horizontal="center"/>
      <protection locked="0"/>
    </xf>
    <xf numFmtId="0" fontId="0" fillId="4" borderId="4" xfId="0" applyFill="1" applyBorder="1" applyProtection="1">
      <protection locked="0"/>
    </xf>
    <xf numFmtId="0" fontId="0" fillId="4" borderId="0" xfId="0" applyFill="1" applyBorder="1" applyProtection="1">
      <protection locked="0"/>
    </xf>
    <xf numFmtId="0" fontId="0" fillId="4" borderId="5" xfId="0" applyFill="1" applyBorder="1" applyAlignment="1" applyProtection="1">
      <alignment horizontal="center"/>
      <protection locked="0"/>
    </xf>
    <xf numFmtId="0" fontId="0" fillId="4" borderId="6" xfId="0" applyFill="1" applyBorder="1" applyProtection="1">
      <protection locked="0"/>
    </xf>
    <xf numFmtId="0" fontId="0" fillId="4" borderId="7" xfId="0" applyFill="1" applyBorder="1" applyProtection="1">
      <protection locked="0"/>
    </xf>
    <xf numFmtId="0" fontId="0" fillId="4" borderId="8" xfId="0" applyFill="1" applyBorder="1" applyAlignment="1" applyProtection="1">
      <alignment horizontal="center"/>
      <protection locked="0"/>
    </xf>
    <xf numFmtId="10" fontId="0" fillId="2" borderId="0" xfId="1" applyNumberFormat="1" applyFont="1" applyFill="1" applyAlignment="1" applyProtection="1">
      <alignment horizontal="center"/>
      <protection locked="0"/>
    </xf>
    <xf numFmtId="0" fontId="0" fillId="2" borderId="0" xfId="0" applyFill="1" applyAlignment="1" applyProtection="1">
      <alignment horizontal="center"/>
      <protection locked="0"/>
    </xf>
    <xf numFmtId="10" fontId="0" fillId="2" borderId="0" xfId="1" applyNumberFormat="1" applyFont="1" applyFill="1" applyProtection="1">
      <protection locked="0"/>
    </xf>
    <xf numFmtId="0" fontId="4" fillId="3" borderId="0" xfId="0" applyFont="1" applyFill="1"/>
    <xf numFmtId="0" fontId="0" fillId="6" borderId="0" xfId="0" applyFill="1"/>
    <xf numFmtId="0" fontId="0" fillId="2" borderId="0" xfId="0" applyFill="1"/>
    <xf numFmtId="0" fontId="0" fillId="7" borderId="0" xfId="0" applyFill="1"/>
    <xf numFmtId="0" fontId="0" fillId="0" borderId="4" xfId="0" applyBorder="1"/>
    <xf numFmtId="0" fontId="0" fillId="0" borderId="5" xfId="0" applyBorder="1"/>
    <xf numFmtId="0" fontId="7" fillId="7" borderId="5" xfId="0" applyFont="1" applyFill="1" applyBorder="1" applyAlignment="1">
      <alignment horizontal="center"/>
    </xf>
    <xf numFmtId="0" fontId="0" fillId="8" borderId="5" xfId="0" applyFill="1" applyBorder="1" applyAlignment="1">
      <alignment horizontal="center"/>
    </xf>
    <xf numFmtId="0" fontId="0" fillId="4" borderId="5" xfId="0" applyFill="1" applyBorder="1" applyAlignment="1">
      <alignment horizontal="center"/>
    </xf>
    <xf numFmtId="0" fontId="0" fillId="0" borderId="6" xfId="0" applyBorder="1"/>
    <xf numFmtId="0" fontId="0" fillId="0" borderId="7" xfId="0" applyBorder="1" applyAlignment="1">
      <alignment horizontal="center"/>
    </xf>
    <xf numFmtId="0" fontId="0" fillId="0" borderId="7" xfId="0" applyBorder="1"/>
    <xf numFmtId="0" fontId="0" fillId="0" borderId="8" xfId="0" applyBorder="1"/>
    <xf numFmtId="0" fontId="4" fillId="3" borderId="1" xfId="0" applyFont="1" applyFill="1" applyBorder="1" applyAlignment="1">
      <alignment horizontal="center"/>
    </xf>
    <xf numFmtId="0" fontId="4" fillId="3" borderId="2" xfId="0" applyFont="1" applyFill="1" applyBorder="1" applyAlignment="1">
      <alignment horizontal="center"/>
    </xf>
    <xf numFmtId="0" fontId="4" fillId="3" borderId="3" xfId="0" applyFont="1" applyFill="1" applyBorder="1" applyAlignment="1">
      <alignment horizontal="center"/>
    </xf>
    <xf numFmtId="0" fontId="4" fillId="3" borderId="7" xfId="0" applyFont="1" applyFill="1" applyBorder="1" applyAlignment="1">
      <alignment horizontal="center"/>
    </xf>
    <xf numFmtId="0" fontId="5" fillId="5" borderId="0" xfId="0" applyFont="1" applyFill="1" applyAlignment="1">
      <alignment horizontal="center" vertical="center" wrapText="1"/>
    </xf>
  </cellXfs>
  <cellStyles count="2">
    <cellStyle name="Normal" xfId="0" builtinId="0"/>
    <cellStyle name="Porcentaje" xfId="1" builtinId="5"/>
  </cellStyles>
  <dxfs count="7">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144780</xdr:colOff>
          <xdr:row>2</xdr:row>
          <xdr:rowOff>7620</xdr:rowOff>
        </xdr:from>
        <xdr:to>
          <xdr:col>2</xdr:col>
          <xdr:colOff>533400</xdr:colOff>
          <xdr:row>4</xdr:row>
          <xdr:rowOff>38100</xdr:rowOff>
        </xdr:to>
        <xdr:sp macro="" textlink="">
          <xdr:nvSpPr>
            <xdr:cNvPr id="1025" name="Button 1" hidden="1">
              <a:extLst>
                <a:ext uri="{63B3BB69-23CF-44E3-9099-C40C66FF867C}">
                  <a14:compatExt spid="_x0000_s1025"/>
                </a:ext>
                <a:ext uri="{FF2B5EF4-FFF2-40B4-BE49-F238E27FC236}">
                  <a16:creationId xmlns:a16="http://schemas.microsoft.com/office/drawing/2014/main" xmlns=""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AR" sz="1100" b="0" i="0" u="none" strike="noStrike" baseline="0">
                  <a:solidFill>
                    <a:srgbClr val="000000"/>
                  </a:solidFill>
                  <a:latin typeface="Calibri"/>
                  <a:cs typeface="Calibri"/>
                </a:rPr>
                <a:t>Importar</a:t>
              </a:r>
            </a:p>
          </xdr:txBody>
        </xdr:sp>
        <xdr:clientData fPrintsWithSheet="0"/>
      </xdr:twoCellAnchor>
    </mc:Choice>
    <mc:Fallback/>
  </mc:AlternateContent>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1"/>
  <dimension ref="A2:A180"/>
  <sheetViews>
    <sheetView workbookViewId="0">
      <selection sqref="A1:XFD1048576"/>
    </sheetView>
  </sheetViews>
  <sheetFormatPr baseColWidth="10" defaultColWidth="8.88671875" defaultRowHeight="14.4" x14ac:dyDescent="0.3"/>
  <cols>
    <col min="1" max="1" width="89.44140625" bestFit="1" customWidth="1"/>
  </cols>
  <sheetData>
    <row r="2" spans="1:1" x14ac:dyDescent="0.3">
      <c r="A2" t="s">
        <v>0</v>
      </c>
    </row>
    <row r="3" spans="1:1" x14ac:dyDescent="0.3">
      <c r="A3" t="s">
        <v>1</v>
      </c>
    </row>
    <row r="4" spans="1:1" x14ac:dyDescent="0.3">
      <c r="A4" t="s">
        <v>2</v>
      </c>
    </row>
    <row r="5" spans="1:1" x14ac:dyDescent="0.3">
      <c r="A5" t="s">
        <v>3</v>
      </c>
    </row>
    <row r="6" spans="1:1" x14ac:dyDescent="0.3">
      <c r="A6" t="s">
        <v>4</v>
      </c>
    </row>
    <row r="7" spans="1:1" x14ac:dyDescent="0.3">
      <c r="A7" t="s">
        <v>5</v>
      </c>
    </row>
    <row r="8" spans="1:1" x14ac:dyDescent="0.3">
      <c r="A8" t="s">
        <v>6</v>
      </c>
    </row>
    <row r="9" spans="1:1" x14ac:dyDescent="0.3">
      <c r="A9" t="s">
        <v>7</v>
      </c>
    </row>
    <row r="10" spans="1:1" x14ac:dyDescent="0.3">
      <c r="A10" t="s">
        <v>8</v>
      </c>
    </row>
    <row r="11" spans="1:1" x14ac:dyDescent="0.3">
      <c r="A11" t="s">
        <v>9</v>
      </c>
    </row>
    <row r="12" spans="1:1" x14ac:dyDescent="0.3">
      <c r="A12" t="s">
        <v>10</v>
      </c>
    </row>
    <row r="13" spans="1:1" x14ac:dyDescent="0.3">
      <c r="A13" t="s">
        <v>11</v>
      </c>
    </row>
    <row r="14" spans="1:1" x14ac:dyDescent="0.3">
      <c r="A14" t="s">
        <v>12</v>
      </c>
    </row>
    <row r="15" spans="1:1" x14ac:dyDescent="0.3">
      <c r="A15" t="s">
        <v>13</v>
      </c>
    </row>
    <row r="16" spans="1:1" x14ac:dyDescent="0.3">
      <c r="A16" t="s">
        <v>14</v>
      </c>
    </row>
    <row r="17" spans="1:1" x14ac:dyDescent="0.3">
      <c r="A17" t="s">
        <v>15</v>
      </c>
    </row>
    <row r="18" spans="1:1" x14ac:dyDescent="0.3">
      <c r="A18" t="s">
        <v>16</v>
      </c>
    </row>
    <row r="19" spans="1:1" x14ac:dyDescent="0.3">
      <c r="A19" t="s">
        <v>17</v>
      </c>
    </row>
    <row r="20" spans="1:1" x14ac:dyDescent="0.3">
      <c r="A20" t="s">
        <v>18</v>
      </c>
    </row>
    <row r="21" spans="1:1" x14ac:dyDescent="0.3">
      <c r="A21" t="s">
        <v>19</v>
      </c>
    </row>
    <row r="22" spans="1:1" x14ac:dyDescent="0.3">
      <c r="A22" t="s">
        <v>20</v>
      </c>
    </row>
    <row r="23" spans="1:1" x14ac:dyDescent="0.3">
      <c r="A23" t="s">
        <v>21</v>
      </c>
    </row>
    <row r="24" spans="1:1" x14ac:dyDescent="0.3">
      <c r="A24" t="s">
        <v>22</v>
      </c>
    </row>
    <row r="25" spans="1:1" x14ac:dyDescent="0.3">
      <c r="A25" t="s">
        <v>23</v>
      </c>
    </row>
    <row r="26" spans="1:1" x14ac:dyDescent="0.3">
      <c r="A26" t="s">
        <v>24</v>
      </c>
    </row>
    <row r="27" spans="1:1" x14ac:dyDescent="0.3">
      <c r="A27" t="s">
        <v>25</v>
      </c>
    </row>
    <row r="28" spans="1:1" x14ac:dyDescent="0.3">
      <c r="A28" t="s">
        <v>26</v>
      </c>
    </row>
    <row r="29" spans="1:1" x14ac:dyDescent="0.3">
      <c r="A29" t="s">
        <v>27</v>
      </c>
    </row>
    <row r="30" spans="1:1" x14ac:dyDescent="0.3">
      <c r="A30" t="s">
        <v>28</v>
      </c>
    </row>
    <row r="31" spans="1:1" x14ac:dyDescent="0.3">
      <c r="A31" t="s">
        <v>29</v>
      </c>
    </row>
    <row r="32" spans="1:1" x14ac:dyDescent="0.3">
      <c r="A32" t="s">
        <v>30</v>
      </c>
    </row>
    <row r="33" spans="1:1" x14ac:dyDescent="0.3">
      <c r="A33" t="s">
        <v>31</v>
      </c>
    </row>
    <row r="34" spans="1:1" x14ac:dyDescent="0.3">
      <c r="A34" t="s">
        <v>32</v>
      </c>
    </row>
    <row r="35" spans="1:1" x14ac:dyDescent="0.3">
      <c r="A35" t="s">
        <v>33</v>
      </c>
    </row>
    <row r="36" spans="1:1" x14ac:dyDescent="0.3">
      <c r="A36" t="s">
        <v>34</v>
      </c>
    </row>
    <row r="37" spans="1:1" x14ac:dyDescent="0.3">
      <c r="A37" t="s">
        <v>35</v>
      </c>
    </row>
    <row r="38" spans="1:1" x14ac:dyDescent="0.3">
      <c r="A38" t="s">
        <v>36</v>
      </c>
    </row>
    <row r="39" spans="1:1" x14ac:dyDescent="0.3">
      <c r="A39" t="s">
        <v>37</v>
      </c>
    </row>
    <row r="40" spans="1:1" x14ac:dyDescent="0.3">
      <c r="A40" t="s">
        <v>38</v>
      </c>
    </row>
    <row r="41" spans="1:1" x14ac:dyDescent="0.3">
      <c r="A41" t="s">
        <v>39</v>
      </c>
    </row>
    <row r="42" spans="1:1" x14ac:dyDescent="0.3">
      <c r="A42" t="s">
        <v>40</v>
      </c>
    </row>
    <row r="43" spans="1:1" x14ac:dyDescent="0.3">
      <c r="A43" t="s">
        <v>41</v>
      </c>
    </row>
    <row r="44" spans="1:1" x14ac:dyDescent="0.3">
      <c r="A44" t="s">
        <v>42</v>
      </c>
    </row>
    <row r="45" spans="1:1" x14ac:dyDescent="0.3">
      <c r="A45" t="s">
        <v>43</v>
      </c>
    </row>
    <row r="46" spans="1:1" x14ac:dyDescent="0.3">
      <c r="A46" t="s">
        <v>44</v>
      </c>
    </row>
    <row r="47" spans="1:1" x14ac:dyDescent="0.3">
      <c r="A47" t="s">
        <v>45</v>
      </c>
    </row>
    <row r="48" spans="1:1" x14ac:dyDescent="0.3">
      <c r="A48" t="s">
        <v>46</v>
      </c>
    </row>
    <row r="49" spans="1:1" x14ac:dyDescent="0.3">
      <c r="A49" t="s">
        <v>47</v>
      </c>
    </row>
    <row r="50" spans="1:1" x14ac:dyDescent="0.3">
      <c r="A50" t="s">
        <v>48</v>
      </c>
    </row>
    <row r="51" spans="1:1" x14ac:dyDescent="0.3">
      <c r="A51" t="s">
        <v>49</v>
      </c>
    </row>
    <row r="52" spans="1:1" x14ac:dyDescent="0.3">
      <c r="A52" t="s">
        <v>50</v>
      </c>
    </row>
    <row r="53" spans="1:1" x14ac:dyDescent="0.3">
      <c r="A53" t="s">
        <v>51</v>
      </c>
    </row>
    <row r="54" spans="1:1" x14ac:dyDescent="0.3">
      <c r="A54" t="s">
        <v>52</v>
      </c>
    </row>
    <row r="55" spans="1:1" x14ac:dyDescent="0.3">
      <c r="A55" t="s">
        <v>53</v>
      </c>
    </row>
    <row r="56" spans="1:1" x14ac:dyDescent="0.3">
      <c r="A56" t="s">
        <v>54</v>
      </c>
    </row>
    <row r="57" spans="1:1" x14ac:dyDescent="0.3">
      <c r="A57" t="s">
        <v>55</v>
      </c>
    </row>
    <row r="58" spans="1:1" x14ac:dyDescent="0.3">
      <c r="A58" t="s">
        <v>56</v>
      </c>
    </row>
    <row r="59" spans="1:1" x14ac:dyDescent="0.3">
      <c r="A59" t="s">
        <v>57</v>
      </c>
    </row>
    <row r="60" spans="1:1" x14ac:dyDescent="0.3">
      <c r="A60" t="s">
        <v>58</v>
      </c>
    </row>
    <row r="61" spans="1:1" x14ac:dyDescent="0.3">
      <c r="A61" t="s">
        <v>59</v>
      </c>
    </row>
    <row r="62" spans="1:1" x14ac:dyDescent="0.3">
      <c r="A62" t="s">
        <v>60</v>
      </c>
    </row>
    <row r="63" spans="1:1" x14ac:dyDescent="0.3">
      <c r="A63" t="s">
        <v>61</v>
      </c>
    </row>
    <row r="64" spans="1:1" x14ac:dyDescent="0.3">
      <c r="A64" t="s">
        <v>62</v>
      </c>
    </row>
    <row r="65" spans="1:1" x14ac:dyDescent="0.3">
      <c r="A65" t="s">
        <v>63</v>
      </c>
    </row>
    <row r="66" spans="1:1" x14ac:dyDescent="0.3">
      <c r="A66" t="s">
        <v>64</v>
      </c>
    </row>
    <row r="67" spans="1:1" x14ac:dyDescent="0.3">
      <c r="A67" t="s">
        <v>65</v>
      </c>
    </row>
    <row r="68" spans="1:1" x14ac:dyDescent="0.3">
      <c r="A68" t="s">
        <v>66</v>
      </c>
    </row>
    <row r="69" spans="1:1" x14ac:dyDescent="0.3">
      <c r="A69" t="s">
        <v>67</v>
      </c>
    </row>
    <row r="70" spans="1:1" x14ac:dyDescent="0.3">
      <c r="A70" t="s">
        <v>68</v>
      </c>
    </row>
    <row r="71" spans="1:1" x14ac:dyDescent="0.3">
      <c r="A71" t="s">
        <v>69</v>
      </c>
    </row>
    <row r="72" spans="1:1" x14ac:dyDescent="0.3">
      <c r="A72" t="s">
        <v>70</v>
      </c>
    </row>
    <row r="73" spans="1:1" x14ac:dyDescent="0.3">
      <c r="A73" t="s">
        <v>71</v>
      </c>
    </row>
    <row r="74" spans="1:1" x14ac:dyDescent="0.3">
      <c r="A74" t="s">
        <v>72</v>
      </c>
    </row>
    <row r="75" spans="1:1" x14ac:dyDescent="0.3">
      <c r="A75" t="s">
        <v>73</v>
      </c>
    </row>
    <row r="76" spans="1:1" x14ac:dyDescent="0.3">
      <c r="A76" t="s">
        <v>74</v>
      </c>
    </row>
    <row r="77" spans="1:1" x14ac:dyDescent="0.3">
      <c r="A77" t="s">
        <v>75</v>
      </c>
    </row>
    <row r="78" spans="1:1" x14ac:dyDescent="0.3">
      <c r="A78" t="s">
        <v>76</v>
      </c>
    </row>
    <row r="79" spans="1:1" x14ac:dyDescent="0.3">
      <c r="A79" t="s">
        <v>77</v>
      </c>
    </row>
    <row r="80" spans="1:1" x14ac:dyDescent="0.3">
      <c r="A80" t="s">
        <v>78</v>
      </c>
    </row>
    <row r="81" spans="1:1" x14ac:dyDescent="0.3">
      <c r="A81" t="s">
        <v>79</v>
      </c>
    </row>
    <row r="82" spans="1:1" x14ac:dyDescent="0.3">
      <c r="A82" t="s">
        <v>80</v>
      </c>
    </row>
    <row r="83" spans="1:1" x14ac:dyDescent="0.3">
      <c r="A83" t="s">
        <v>81</v>
      </c>
    </row>
    <row r="84" spans="1:1" x14ac:dyDescent="0.3">
      <c r="A84" t="s">
        <v>82</v>
      </c>
    </row>
    <row r="85" spans="1:1" x14ac:dyDescent="0.3">
      <c r="A85" t="s">
        <v>83</v>
      </c>
    </row>
    <row r="86" spans="1:1" x14ac:dyDescent="0.3">
      <c r="A86" t="s">
        <v>84</v>
      </c>
    </row>
    <row r="87" spans="1:1" x14ac:dyDescent="0.3">
      <c r="A87" t="s">
        <v>85</v>
      </c>
    </row>
    <row r="88" spans="1:1" x14ac:dyDescent="0.3">
      <c r="A88" t="s">
        <v>86</v>
      </c>
    </row>
    <row r="89" spans="1:1" x14ac:dyDescent="0.3">
      <c r="A89" t="s">
        <v>87</v>
      </c>
    </row>
    <row r="90" spans="1:1" x14ac:dyDescent="0.3">
      <c r="A90" t="s">
        <v>88</v>
      </c>
    </row>
    <row r="91" spans="1:1" x14ac:dyDescent="0.3">
      <c r="A91" t="s">
        <v>89</v>
      </c>
    </row>
    <row r="92" spans="1:1" x14ac:dyDescent="0.3">
      <c r="A92" t="s">
        <v>90</v>
      </c>
    </row>
    <row r="93" spans="1:1" x14ac:dyDescent="0.3">
      <c r="A93" t="s">
        <v>91</v>
      </c>
    </row>
    <row r="94" spans="1:1" x14ac:dyDescent="0.3">
      <c r="A94" t="s">
        <v>92</v>
      </c>
    </row>
    <row r="95" spans="1:1" x14ac:dyDescent="0.3">
      <c r="A95" t="s">
        <v>93</v>
      </c>
    </row>
    <row r="96" spans="1:1" x14ac:dyDescent="0.3">
      <c r="A96" t="s">
        <v>94</v>
      </c>
    </row>
    <row r="97" spans="1:1" x14ac:dyDescent="0.3">
      <c r="A97" t="s">
        <v>95</v>
      </c>
    </row>
    <row r="98" spans="1:1" x14ac:dyDescent="0.3">
      <c r="A98" t="s">
        <v>96</v>
      </c>
    </row>
    <row r="99" spans="1:1" x14ac:dyDescent="0.3">
      <c r="A99" t="s">
        <v>97</v>
      </c>
    </row>
    <row r="100" spans="1:1" x14ac:dyDescent="0.3">
      <c r="A100" t="s">
        <v>98</v>
      </c>
    </row>
    <row r="101" spans="1:1" x14ac:dyDescent="0.3">
      <c r="A101" t="s">
        <v>99</v>
      </c>
    </row>
    <row r="102" spans="1:1" x14ac:dyDescent="0.3">
      <c r="A102" t="s">
        <v>100</v>
      </c>
    </row>
    <row r="103" spans="1:1" x14ac:dyDescent="0.3">
      <c r="A103" t="s">
        <v>101</v>
      </c>
    </row>
    <row r="104" spans="1:1" x14ac:dyDescent="0.3">
      <c r="A104" t="s">
        <v>102</v>
      </c>
    </row>
    <row r="105" spans="1:1" x14ac:dyDescent="0.3">
      <c r="A105" t="s">
        <v>103</v>
      </c>
    </row>
    <row r="106" spans="1:1" x14ac:dyDescent="0.3">
      <c r="A106" t="s">
        <v>104</v>
      </c>
    </row>
    <row r="107" spans="1:1" x14ac:dyDescent="0.3">
      <c r="A107" t="s">
        <v>105</v>
      </c>
    </row>
    <row r="108" spans="1:1" x14ac:dyDescent="0.3">
      <c r="A108" t="s">
        <v>106</v>
      </c>
    </row>
    <row r="109" spans="1:1" x14ac:dyDescent="0.3">
      <c r="A109" t="s">
        <v>107</v>
      </c>
    </row>
    <row r="110" spans="1:1" x14ac:dyDescent="0.3">
      <c r="A110" t="s">
        <v>108</v>
      </c>
    </row>
    <row r="111" spans="1:1" x14ac:dyDescent="0.3">
      <c r="A111" t="s">
        <v>109</v>
      </c>
    </row>
    <row r="112" spans="1:1" x14ac:dyDescent="0.3">
      <c r="A112" t="s">
        <v>110</v>
      </c>
    </row>
    <row r="113" spans="1:1" x14ac:dyDescent="0.3">
      <c r="A113" t="s">
        <v>111</v>
      </c>
    </row>
    <row r="114" spans="1:1" x14ac:dyDescent="0.3">
      <c r="A114" t="s">
        <v>112</v>
      </c>
    </row>
    <row r="115" spans="1:1" x14ac:dyDescent="0.3">
      <c r="A115" t="s">
        <v>113</v>
      </c>
    </row>
    <row r="116" spans="1:1" x14ac:dyDescent="0.3">
      <c r="A116" t="s">
        <v>114</v>
      </c>
    </row>
    <row r="117" spans="1:1" x14ac:dyDescent="0.3">
      <c r="A117" t="s">
        <v>115</v>
      </c>
    </row>
    <row r="118" spans="1:1" x14ac:dyDescent="0.3">
      <c r="A118" t="s">
        <v>116</v>
      </c>
    </row>
    <row r="119" spans="1:1" x14ac:dyDescent="0.3">
      <c r="A119" t="s">
        <v>117</v>
      </c>
    </row>
    <row r="120" spans="1:1" x14ac:dyDescent="0.3">
      <c r="A120" t="s">
        <v>118</v>
      </c>
    </row>
    <row r="121" spans="1:1" x14ac:dyDescent="0.3">
      <c r="A121" t="s">
        <v>119</v>
      </c>
    </row>
    <row r="122" spans="1:1" x14ac:dyDescent="0.3">
      <c r="A122" t="s">
        <v>120</v>
      </c>
    </row>
    <row r="123" spans="1:1" x14ac:dyDescent="0.3">
      <c r="A123" t="s">
        <v>121</v>
      </c>
    </row>
    <row r="124" spans="1:1" x14ac:dyDescent="0.3">
      <c r="A124" t="s">
        <v>122</v>
      </c>
    </row>
    <row r="125" spans="1:1" x14ac:dyDescent="0.3">
      <c r="A125" t="s">
        <v>123</v>
      </c>
    </row>
    <row r="126" spans="1:1" x14ac:dyDescent="0.3">
      <c r="A126" t="s">
        <v>124</v>
      </c>
    </row>
    <row r="127" spans="1:1" x14ac:dyDescent="0.3">
      <c r="A127" t="s">
        <v>125</v>
      </c>
    </row>
    <row r="128" spans="1:1" x14ac:dyDescent="0.3">
      <c r="A128" t="s">
        <v>126</v>
      </c>
    </row>
    <row r="129" spans="1:1" x14ac:dyDescent="0.3">
      <c r="A129" t="s">
        <v>127</v>
      </c>
    </row>
    <row r="130" spans="1:1" x14ac:dyDescent="0.3">
      <c r="A130" t="s">
        <v>128</v>
      </c>
    </row>
    <row r="131" spans="1:1" x14ac:dyDescent="0.3">
      <c r="A131" t="s">
        <v>129</v>
      </c>
    </row>
    <row r="132" spans="1:1" x14ac:dyDescent="0.3">
      <c r="A132" t="s">
        <v>130</v>
      </c>
    </row>
    <row r="133" spans="1:1" x14ac:dyDescent="0.3">
      <c r="A133" t="s">
        <v>131</v>
      </c>
    </row>
    <row r="134" spans="1:1" x14ac:dyDescent="0.3">
      <c r="A134" t="s">
        <v>132</v>
      </c>
    </row>
    <row r="135" spans="1:1" x14ac:dyDescent="0.3">
      <c r="A135" t="s">
        <v>133</v>
      </c>
    </row>
    <row r="136" spans="1:1" x14ac:dyDescent="0.3">
      <c r="A136" t="s">
        <v>134</v>
      </c>
    </row>
    <row r="137" spans="1:1" x14ac:dyDescent="0.3">
      <c r="A137" t="s">
        <v>135</v>
      </c>
    </row>
    <row r="138" spans="1:1" x14ac:dyDescent="0.3">
      <c r="A138" t="s">
        <v>136</v>
      </c>
    </row>
    <row r="139" spans="1:1" x14ac:dyDescent="0.3">
      <c r="A139" t="s">
        <v>137</v>
      </c>
    </row>
    <row r="140" spans="1:1" x14ac:dyDescent="0.3">
      <c r="A140" t="s">
        <v>138</v>
      </c>
    </row>
    <row r="141" spans="1:1" x14ac:dyDescent="0.3">
      <c r="A141" t="s">
        <v>139</v>
      </c>
    </row>
    <row r="142" spans="1:1" x14ac:dyDescent="0.3">
      <c r="A142" t="s">
        <v>140</v>
      </c>
    </row>
    <row r="143" spans="1:1" x14ac:dyDescent="0.3">
      <c r="A143" t="s">
        <v>141</v>
      </c>
    </row>
    <row r="144" spans="1:1" x14ac:dyDescent="0.3">
      <c r="A144" t="s">
        <v>142</v>
      </c>
    </row>
    <row r="145" spans="1:1" x14ac:dyDescent="0.3">
      <c r="A145" t="s">
        <v>143</v>
      </c>
    </row>
    <row r="146" spans="1:1" x14ac:dyDescent="0.3">
      <c r="A146" t="s">
        <v>144</v>
      </c>
    </row>
    <row r="147" spans="1:1" x14ac:dyDescent="0.3">
      <c r="A147" t="s">
        <v>145</v>
      </c>
    </row>
    <row r="148" spans="1:1" x14ac:dyDescent="0.3">
      <c r="A148" t="s">
        <v>146</v>
      </c>
    </row>
    <row r="149" spans="1:1" x14ac:dyDescent="0.3">
      <c r="A149" t="s">
        <v>147</v>
      </c>
    </row>
    <row r="150" spans="1:1" x14ac:dyDescent="0.3">
      <c r="A150" t="s">
        <v>148</v>
      </c>
    </row>
    <row r="151" spans="1:1" x14ac:dyDescent="0.3">
      <c r="A151" t="s">
        <v>149</v>
      </c>
    </row>
    <row r="152" spans="1:1" x14ac:dyDescent="0.3">
      <c r="A152" t="s">
        <v>150</v>
      </c>
    </row>
    <row r="153" spans="1:1" x14ac:dyDescent="0.3">
      <c r="A153" t="s">
        <v>151</v>
      </c>
    </row>
    <row r="154" spans="1:1" x14ac:dyDescent="0.3">
      <c r="A154" t="s">
        <v>152</v>
      </c>
    </row>
    <row r="155" spans="1:1" x14ac:dyDescent="0.3">
      <c r="A155" t="s">
        <v>153</v>
      </c>
    </row>
    <row r="156" spans="1:1" x14ac:dyDescent="0.3">
      <c r="A156" t="s">
        <v>154</v>
      </c>
    </row>
    <row r="157" spans="1:1" x14ac:dyDescent="0.3">
      <c r="A157" t="s">
        <v>155</v>
      </c>
    </row>
    <row r="158" spans="1:1" x14ac:dyDescent="0.3">
      <c r="A158" t="s">
        <v>156</v>
      </c>
    </row>
    <row r="159" spans="1:1" x14ac:dyDescent="0.3">
      <c r="A159" t="s">
        <v>157</v>
      </c>
    </row>
    <row r="160" spans="1:1" x14ac:dyDescent="0.3">
      <c r="A160" t="s">
        <v>158</v>
      </c>
    </row>
    <row r="161" spans="1:1" x14ac:dyDescent="0.3">
      <c r="A161" t="s">
        <v>159</v>
      </c>
    </row>
    <row r="162" spans="1:1" x14ac:dyDescent="0.3">
      <c r="A162" t="s">
        <v>160</v>
      </c>
    </row>
    <row r="163" spans="1:1" x14ac:dyDescent="0.3">
      <c r="A163" t="s">
        <v>161</v>
      </c>
    </row>
    <row r="164" spans="1:1" x14ac:dyDescent="0.3">
      <c r="A164" t="s">
        <v>162</v>
      </c>
    </row>
    <row r="165" spans="1:1" x14ac:dyDescent="0.3">
      <c r="A165" t="s">
        <v>163</v>
      </c>
    </row>
    <row r="166" spans="1:1" x14ac:dyDescent="0.3">
      <c r="A166" t="s">
        <v>164</v>
      </c>
    </row>
    <row r="167" spans="1:1" x14ac:dyDescent="0.3">
      <c r="A167" t="s">
        <v>165</v>
      </c>
    </row>
    <row r="168" spans="1:1" x14ac:dyDescent="0.3">
      <c r="A168" t="s">
        <v>166</v>
      </c>
    </row>
    <row r="169" spans="1:1" x14ac:dyDescent="0.3">
      <c r="A169" t="s">
        <v>167</v>
      </c>
    </row>
    <row r="170" spans="1:1" x14ac:dyDescent="0.3">
      <c r="A170" t="s">
        <v>168</v>
      </c>
    </row>
    <row r="171" spans="1:1" x14ac:dyDescent="0.3">
      <c r="A171" t="s">
        <v>169</v>
      </c>
    </row>
    <row r="172" spans="1:1" x14ac:dyDescent="0.3">
      <c r="A172" t="s">
        <v>170</v>
      </c>
    </row>
    <row r="173" spans="1:1" x14ac:dyDescent="0.3">
      <c r="A173" t="s">
        <v>171</v>
      </c>
    </row>
    <row r="174" spans="1:1" x14ac:dyDescent="0.3">
      <c r="A174" t="s">
        <v>172</v>
      </c>
    </row>
    <row r="175" spans="1:1" x14ac:dyDescent="0.3">
      <c r="A175" t="s">
        <v>173</v>
      </c>
    </row>
    <row r="176" spans="1:1" x14ac:dyDescent="0.3">
      <c r="A176" t="s">
        <v>174</v>
      </c>
    </row>
    <row r="177" spans="1:1" x14ac:dyDescent="0.3">
      <c r="A177" t="s">
        <v>175</v>
      </c>
    </row>
    <row r="178" spans="1:1" x14ac:dyDescent="0.3">
      <c r="A178" t="s">
        <v>176</v>
      </c>
    </row>
    <row r="179" spans="1:1" x14ac:dyDescent="0.3">
      <c r="A179" t="s">
        <v>177</v>
      </c>
    </row>
    <row r="180" spans="1:1" x14ac:dyDescent="0.3">
      <c r="A180" t="s">
        <v>178</v>
      </c>
    </row>
  </sheetData>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Importar_Arquivo">
                <anchor moveWithCells="1">
                  <from>
                    <xdr:col>1</xdr:col>
                    <xdr:colOff>144780</xdr:colOff>
                    <xdr:row>2</xdr:row>
                    <xdr:rowOff>7620</xdr:rowOff>
                  </from>
                  <to>
                    <xdr:col>2</xdr:col>
                    <xdr:colOff>533400</xdr:colOff>
                    <xdr:row>4</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2"/>
  <dimension ref="A1:AE165"/>
  <sheetViews>
    <sheetView workbookViewId="0">
      <selection sqref="A1:XFD1048576"/>
    </sheetView>
  </sheetViews>
  <sheetFormatPr baseColWidth="10" defaultColWidth="8.88671875" defaultRowHeight="14.4" x14ac:dyDescent="0.3"/>
  <cols>
    <col min="1" max="2" width="4" bestFit="1" customWidth="1"/>
    <col min="3" max="3" width="21.88671875" bestFit="1" customWidth="1"/>
    <col min="4" max="4" width="62.44140625" bestFit="1" customWidth="1"/>
    <col min="5" max="13" width="3.6640625" bestFit="1" customWidth="1"/>
    <col min="14" max="14" width="4.44140625" bestFit="1" customWidth="1"/>
    <col min="15" max="18" width="3.6640625" bestFit="1" customWidth="1"/>
    <col min="19" max="19" width="4.44140625" bestFit="1" customWidth="1"/>
    <col min="20" max="24" width="3.6640625" bestFit="1" customWidth="1"/>
    <col min="25" max="25" width="4.109375" bestFit="1" customWidth="1"/>
    <col min="26" max="31" width="3.6640625" bestFit="1" customWidth="1"/>
  </cols>
  <sheetData>
    <row r="1" spans="1:31" s="1" customFormat="1" ht="111" x14ac:dyDescent="0.3">
      <c r="B1" s="1" t="s">
        <v>179</v>
      </c>
      <c r="C1" s="1" t="s">
        <v>180</v>
      </c>
      <c r="E1" s="1" t="s">
        <v>181</v>
      </c>
      <c r="F1" s="1" t="s">
        <v>190</v>
      </c>
      <c r="G1" s="1" t="s">
        <v>191</v>
      </c>
      <c r="H1" s="1" t="s">
        <v>192</v>
      </c>
      <c r="I1" s="1" t="s">
        <v>193</v>
      </c>
      <c r="J1" s="1" t="s">
        <v>194</v>
      </c>
      <c r="K1" s="1" t="s">
        <v>195</v>
      </c>
      <c r="L1" s="1" t="s">
        <v>196</v>
      </c>
      <c r="M1" s="1" t="s">
        <v>197</v>
      </c>
      <c r="N1" s="1" t="s">
        <v>198</v>
      </c>
      <c r="O1" s="1" t="s">
        <v>199</v>
      </c>
      <c r="P1" s="1" t="s">
        <v>183</v>
      </c>
      <c r="Q1" s="1" t="s">
        <v>200</v>
      </c>
      <c r="R1" s="1" t="s">
        <v>184</v>
      </c>
      <c r="S1" s="1" t="s">
        <v>185</v>
      </c>
      <c r="T1" s="1" t="s">
        <v>201</v>
      </c>
      <c r="U1" s="1" t="s">
        <v>186</v>
      </c>
      <c r="V1" s="1" t="s">
        <v>205</v>
      </c>
      <c r="W1" s="1" t="s">
        <v>204</v>
      </c>
      <c r="X1" s="1" t="s">
        <v>202</v>
      </c>
      <c r="Y1" s="1" t="s">
        <v>203</v>
      </c>
      <c r="Z1" s="1" t="s">
        <v>206</v>
      </c>
      <c r="AA1" s="1" t="s">
        <v>207</v>
      </c>
      <c r="AB1" s="1" t="s">
        <v>208</v>
      </c>
      <c r="AC1" s="1" t="s">
        <v>187</v>
      </c>
      <c r="AD1" s="1" t="s">
        <v>188</v>
      </c>
      <c r="AE1" s="1" t="s">
        <v>189</v>
      </c>
    </row>
    <row r="2" spans="1:31" x14ac:dyDescent="0.3">
      <c r="A2">
        <f>LEN(Dados!A2)</f>
        <v>79</v>
      </c>
      <c r="B2" t="str">
        <f>MID(Dados!A2,SEARCH("=",Dados!A2)+2,(((SEARCH(" ",Dados!A2,SEARCH("=",Dados!A2)+2))-(SEARCH("=",Dados!A2)+2))))</f>
        <v>1</v>
      </c>
      <c r="C2" t="str">
        <f>MID(Dados!A2,SEARCH(" ",Dados!A2,8)+1,(SEARCH(" ",Dados!A2,12))-(SEARCH(" ",Dados!A2,8)+1))</f>
        <v>Dagger</v>
      </c>
      <c r="D2" t="s">
        <v>182</v>
      </c>
      <c r="E2" t="str">
        <f>LEFT(D2,LEN(SEARCH(" ",D2))+1)</f>
        <v xml:space="preserve">1 </v>
      </c>
      <c r="F2" t="str">
        <f>MID($D$2,SEARCH(E2,$D$2)+2,SEARCH(" ",$D$2,LEN(E2)))</f>
        <v xml:space="preserve">8 </v>
      </c>
      <c r="G2" t="str">
        <f>MID($D$2,LEN(_xlfn.CONCAT($E$2:F2))+1,SEARCH(" ",$D$2,LEN(F2)))</f>
        <v xml:space="preserve">1 </v>
      </c>
      <c r="H2" t="str">
        <f>MID($D$2,LEN(_xlfn.CONCAT($E$2:G2))+1,SEARCH(" ",$D$2,LEN(G2)))</f>
        <v xml:space="preserve">2 </v>
      </c>
      <c r="I2" t="str">
        <f>MID($D$2,LEN(_xlfn.CONCAT($E$2:H2))+1,SEARCH(" ",$D$2,LEN(H2)))</f>
        <v xml:space="preserve">6 </v>
      </c>
      <c r="J2" t="str">
        <f>MID($D$2,LEN(_xlfn.CONCAT($E$2:I2))+1,SEARCH(" ",$D$2,LEN(I2)))</f>
        <v xml:space="preserve">1 </v>
      </c>
      <c r="K2" t="str">
        <f>MID($D$2,LEN(_xlfn.CONCAT($E$2:J2))+1,SEARCH(" ",$D$2,LEN(J2)))</f>
        <v xml:space="preserve">2 </v>
      </c>
      <c r="L2" t="str">
        <f>MID($D$2,LEN(_xlfn.CONCAT($E$2:K2))+1,SEARCH(" ",$D$2,LEN(K2)))</f>
        <v xml:space="preserve">6 </v>
      </c>
      <c r="M2" t="str">
        <f>MID($D$2,LEN(_xlfn.CONCAT($E$2:L2))+1,SEARCH(" ",$D$2,LEN(L2)))</f>
        <v xml:space="preserve">7 </v>
      </c>
      <c r="N2" t="str">
        <f>MID($D$2,LEN(_xlfn.CONCAT($E$2:M2))+1,
SEARCH(" ",$D$2,(LEN(_xlfn.CONCAT($E$2:M2))+1))-SEARCH(" ",$D$2,LEN(_xlfn.CONCAT($E$2:M2))))</f>
        <v xml:space="preserve">300 </v>
      </c>
      <c r="O2" t="str">
        <f>MID($D$2,LEN(_xlfn.CONCAT($E$2:N2))+1,
SEARCH(" ",$D$2,(LEN(_xlfn.CONCAT($E$2:N2))+1))-SEARCH(" ",$D$2,LEN(_xlfn.CONCAT($E$2:N2))))</f>
        <v xml:space="preserve">0 </v>
      </c>
      <c r="P2" t="str">
        <f>MID($D$2,LEN(_xlfn.CONCAT($E$2:O2))+1,
SEARCH(" ",$D$2,(LEN(_xlfn.CONCAT($E$2:O2))+1))-SEARCH(" ",$D$2,LEN(_xlfn.CONCAT($E$2:O2))))</f>
        <v xml:space="preserve">1 </v>
      </c>
      <c r="Q2" t="str">
        <f>MID($D$2,LEN(_xlfn.CONCAT($E$2:P2))+1,
SEARCH(" ",$D$2,(LEN(_xlfn.CONCAT($E$2:P2))+1))-SEARCH(" ",$D$2,LEN(_xlfn.CONCAT($E$2:P2))))</f>
        <v xml:space="preserve">0 </v>
      </c>
      <c r="R2" t="str">
        <f>MID($D$2,LEN(_xlfn.CONCAT($E$2:Q2))+1,
SEARCH(" ",$D$2,(LEN(_xlfn.CONCAT($E$2:Q2))+1))-SEARCH(" ",$D$2,LEN(_xlfn.CONCAT($E$2:Q2))))</f>
        <v xml:space="preserve">25 </v>
      </c>
      <c r="S2" t="str">
        <f>MID($D$2,LEN(_xlfn.CONCAT($E$2:R2))+1,
SEARCH(" ",$D$2,(LEN(_xlfn.CONCAT($E$2:R2))+1))-SEARCH(" ",$D$2,LEN(_xlfn.CONCAT($E$2:R2))))</f>
        <v xml:space="preserve">200 </v>
      </c>
      <c r="T2" t="str">
        <f>MID($D$2,LEN(_xlfn.CONCAT($E$2:S2))+1,
SEARCH(" ",$D$2,(LEN(_xlfn.CONCAT($E$2:S2))+1))-SEARCH(" ",$D$2,LEN(_xlfn.CONCAT($E$2:S2))))</f>
        <v xml:space="preserve">1 </v>
      </c>
      <c r="U2" t="str">
        <f>MID($D$2,LEN(_xlfn.CONCAT($E$2:T2))+1,
SEARCH(" ",$D$2,(LEN(_xlfn.CONCAT($E$2:T2))+1))-SEARCH(" ",$D$2,LEN(_xlfn.CONCAT($E$2:T2))))</f>
        <v xml:space="preserve">0 </v>
      </c>
      <c r="V2" t="str">
        <f>MID($D$2,LEN(_xlfn.CONCAT($E$2:U2))+1,
SEARCH(" ",$D$2,(LEN(_xlfn.CONCAT($E$2:U2))+1))-SEARCH(" ",$D$2,LEN(_xlfn.CONCAT($E$2:U2))))</f>
        <v xml:space="preserve">0 </v>
      </c>
      <c r="W2" t="str">
        <f>MID($D$2,LEN(_xlfn.CONCAT($E$2:V2))+1,
SEARCH(" ",$D$2,(LEN(_xlfn.CONCAT($E$2:V2))+1))-SEARCH(" ",$D$2,LEN(_xlfn.CONCAT($E$2:V2))))</f>
        <v xml:space="preserve">0 </v>
      </c>
      <c r="X2" t="str">
        <f>MID($D$2,LEN(_xlfn.CONCAT($E$2:W2))+1,
SEARCH(" ",$D$2,(LEN(_xlfn.CONCAT($E$2:W2))+1))-SEARCH(" ",$D$2,LEN(_xlfn.CONCAT($E$2:W2))))</f>
        <v xml:space="preserve">0 </v>
      </c>
      <c r="Y2" t="str">
        <f>MID($D$2,LEN(_xlfn.CONCAT($E$2:X2))+1,
SEARCH(" ",$D$2,(LEN(_xlfn.CONCAT($E$2:X2))+1))-SEARCH(" ",$D$2,LEN(_xlfn.CONCAT($E$2:X2))))</f>
        <v xml:space="preserve">-10 </v>
      </c>
      <c r="Z2" t="str">
        <f>MID($D$2,LEN(_xlfn.CONCAT($E$2:Y2))+1,
SEARCH(" ",$D$2,(LEN(_xlfn.CONCAT($E$2:Y2))+1))-SEARCH(" ",$D$2,LEN(_xlfn.CONCAT($E$2:Y2))))</f>
        <v xml:space="preserve">7 </v>
      </c>
      <c r="AA2" t="str">
        <f>MID($D$2,LEN(_xlfn.CONCAT($E$2:Z2))+1,
SEARCH(" ",$D$2,(LEN(_xlfn.CONCAT($E$2:Z2))+1))-SEARCH(" ",$D$2,LEN(_xlfn.CONCAT($E$2:Z2))))</f>
        <v xml:space="preserve">1 </v>
      </c>
      <c r="AB2" t="str">
        <f>MID($D$2,LEN(_xlfn.CONCAT($E$2:AA2))+1,
SEARCH(" ",$D$2,(LEN(_xlfn.CONCAT($E$2:AA2))+1))-SEARCH(" ",$D$2,LEN(_xlfn.CONCAT($E$2:AA2))))</f>
        <v xml:space="preserve">0 </v>
      </c>
      <c r="AC2" t="str">
        <f>MID($D$2,LEN(_xlfn.CONCAT($E$2:AB2))+1,
SEARCH(" ",$D$2,(LEN(_xlfn.CONCAT($E$2:AB2))+1))-SEARCH(" ",$D$2,LEN(_xlfn.CONCAT($E$2:AB2))))</f>
        <v xml:space="preserve">-1 </v>
      </c>
      <c r="AD2" t="str">
        <f>MID($D$2,LEN(_xlfn.CONCAT($E$2:AC2))+1,
SEARCH(" ",$D$2,(LEN(_xlfn.CONCAT($E$2:AC2))+1))-SEARCH(" ",$D$2,LEN(_xlfn.CONCAT($E$2:AC2))))</f>
        <v xml:space="preserve">-1 </v>
      </c>
      <c r="AE2" t="str">
        <f>MID($D$2,LEN(_xlfn.CONCAT($E$2:AD2))+1,
LEN(D2)-LEN(_xlfn.CONCAT($E$2:AD2))+1)</f>
        <v>-1</v>
      </c>
    </row>
    <row r="3" spans="1:31" x14ac:dyDescent="0.3">
      <c r="A3">
        <f>LEN(Dados!A3)</f>
        <v>85</v>
      </c>
      <c r="B3" t="str">
        <f>MID(Dados!A3,SEARCH("=",Dados!A3)+2,(((SEARCH(" ",Dados!A3,SEARCH("=",Dados!A3)+2))-(SEARCH("=",Dados!A3)+2))))</f>
        <v>2</v>
      </c>
      <c r="C3" t="str">
        <f>MID(Dados!A3,SEARCH(" ",Dados!A3,8)+1,(SEARCH(" ",Dados!A3,12))-(SEARCH(" ",Dados!A3,8)+1))</f>
        <v>Dagger(S.C)</v>
      </c>
      <c r="D3" t="str">
        <f>RIGHT(Dados!A3,A3-SEARCH(C3,Dados!A3)-LEN(C3))</f>
        <v>1 8 1 2 5 1 2 4 1 800 0 1 0 -55 200 1 0 0 0 0 -10 7 1 0 -1 -1 -1</v>
      </c>
      <c r="E3" t="str">
        <f>_xlfn.CONCAT(E2:AD2)</f>
        <v xml:space="preserve">1 8 1 2 6 1 2 6 7 300 0 1 0 25 200 1 0 0 0 0 -10 7 1 0 -1 -1 </v>
      </c>
    </row>
    <row r="4" spans="1:31" x14ac:dyDescent="0.3">
      <c r="A4">
        <f>LEN(Dados!A4)</f>
        <v>91</v>
      </c>
      <c r="B4" t="str">
        <f>MID(Dados!A4,SEARCH("=",Dados!A4)+2,(((SEARCH(" ",Dados!A4,SEARCH("=",Dados!A4)+2))-(SEARCH("=",Dados!A4)+2))))</f>
        <v>3</v>
      </c>
      <c r="C4" t="str">
        <f>MID(Dados!A4,SEARCH(" ",Dados!A4,8)+1,(SEARCH(" ",Dados!A4,12))-(SEARCH(" ",Dados!A4,8)+1))</f>
        <v>Dagger(Swd.breaker)</v>
      </c>
      <c r="D4" t="str">
        <f>RIGHT(Dados!A4,A4-SEARCH(C4,Dados!A4)-LEN(C4))</f>
        <v>1 8 1 2 5 1 2 4 1 1 0 1 0 -55 200 1 0 0 0 0 -10 7 1 0 -1 -1 -1</v>
      </c>
    </row>
    <row r="5" spans="1:31" x14ac:dyDescent="0.3">
      <c r="A5">
        <f>LEN(Dados!A5)</f>
        <v>83</v>
      </c>
      <c r="B5" t="str">
        <f>MID(Dados!A5,SEARCH("=",Dados!A5)+2,(((SEARCH(" ",Dados!A5,SEARCH("=",Dados!A5)+2))-(SEARCH("=",Dados!A5)+2))))</f>
        <v>4</v>
      </c>
      <c r="C5" t="str">
        <f>MID(Dados!A5,SEARCH(" ",Dados!A5,8)+1,(SEARCH(" ",Dados!A5,12))-(SEARCH(" ",Dados!A5,8)+1))</f>
        <v>Dagger+1</v>
      </c>
      <c r="D5" t="str">
        <f>RIGHT(Dados!A5,A5-SEARCH(C5,Dados!A5)-LEN(C5))</f>
        <v>1 8 1 2 6 2 2 5 2 800 0 1 0 100 200 1 0 10 0 0 -10 7 1 0 -1 -1 -1</v>
      </c>
    </row>
    <row r="6" spans="1:31" x14ac:dyDescent="0.3">
      <c r="A6">
        <f>LEN(Dados!A6)</f>
        <v>85</v>
      </c>
      <c r="B6" t="str">
        <f>MID(Dados!A6,SEARCH("=",Dados!A6)+2,(((SEARCH(" ",Dados!A6,SEARCH("=",Dados!A6)+2))-(SEARCH("=",Dados!A6)+2))))</f>
        <v>6</v>
      </c>
      <c r="C6" t="str">
        <f>MID(Dados!A6,SEARCH(" ",Dados!A6,8)+1,(SEARCH(" ",Dados!A6,12))-(SEARCH(" ",Dados!A6,8)+1))</f>
        <v>KightDagger</v>
      </c>
      <c r="D6" t="str">
        <f>RIGHT(Dados!A6,A6-SEARCH(C6,Dados!A6)-LEN(C6))</f>
        <v>1 8 1 2 5 1 2 4 1 800 0 1 0 -35 200 1 0 0 0 0 -10 7 1 0 -1 -1 -1</v>
      </c>
    </row>
    <row r="7" spans="1:31" x14ac:dyDescent="0.3">
      <c r="A7">
        <f>LEN(Dados!A7)</f>
        <v>78</v>
      </c>
      <c r="B7" t="str">
        <f>MID(Dados!A7,SEARCH("=",Dados!A7)+2,(((SEARCH(" ",Dados!A7,SEARCH("=",Dados!A7)+2))-(SEARCH("=",Dados!A7)+2))))</f>
        <v>7</v>
      </c>
      <c r="C7" t="str">
        <f>MID(Dados!A7,SEARCH(" ",Dados!A7,8)+1,(SEARCH(" ",Dados!A7,12))-(SEARCH(" ",Dados!A7,8)+1))</f>
        <v>Dirk</v>
      </c>
      <c r="D7" t="str">
        <f>RIGHT(Dados!A7,A7-SEARCH(C7,Dados!A7)-LEN(C7))</f>
        <v>1 8 1 2 5 1 2 4 1 800 0 1 0 -35 200 1 0 0 0 0 -10 7 1 0 -1 -1 -1</v>
      </c>
    </row>
    <row r="8" spans="1:31" x14ac:dyDescent="0.3">
      <c r="A8">
        <f>LEN(Dados!A8)</f>
        <v>82</v>
      </c>
      <c r="B8" t="str">
        <f>MID(Dados!A8,SEARCH("=",Dados!A8)+2,(((SEARCH(" ",Dados!A8,SEARCH("=",Dados!A8)+2))-(SEARCH("=",Dados!A8)+2))))</f>
        <v>8</v>
      </c>
      <c r="C8" t="str">
        <f>MID(Dados!A8,SEARCH(" ",Dados!A8,8)+1,(SEARCH(" ",Dados!A8,12))-(SEARCH(" ",Dados!A8,8)+1))</f>
        <v>ShortSword</v>
      </c>
      <c r="D8" t="str">
        <f>RIGHT(Dados!A8,A8-SEARCH(C8,Dados!A8)-LEN(C8))</f>
        <v>1 8 1 2 7 1 2 6 1 500 0 1 1 50 800 2 2 0 0 0 -5 7 1 0 -1 -1 -1</v>
      </c>
    </row>
    <row r="9" spans="1:31" x14ac:dyDescent="0.3">
      <c r="A9">
        <f>LEN(Dados!A9)</f>
        <v>86</v>
      </c>
      <c r="B9" t="str">
        <f>MID(Dados!A9,SEARCH("=",Dados!A9)+2,(((SEARCH(" ",Dados!A9,SEARCH("=",Dados!A9)+2))-(SEARCH("=",Dados!A9)+2))))</f>
        <v>9</v>
      </c>
      <c r="C9" t="str">
        <f>MID(Dados!A9,SEARCH(" ",Dados!A9,8)+1,(SEARCH(" ",Dados!A9,12))-(SEARCH(" ",Dados!A9,8)+1))</f>
        <v>ShortSword+1</v>
      </c>
      <c r="D9" t="str">
        <f>RIGHT(Dados!A9,A9-SEARCH(C9,Dados!A9)-LEN(C9))</f>
        <v>1 8 1 2 7 2 2 6 2 800 0 1 1 200 800 2 2 10 0 0 -5 7 1 0 -1 -1 -1</v>
      </c>
      <c r="O9">
        <f t="shared" ref="O9:O19" si="0">LEN(D9)-LEN(SUBSTITUTE(D9," ",""))</f>
        <v>26</v>
      </c>
    </row>
    <row r="10" spans="1:31" x14ac:dyDescent="0.3">
      <c r="A10">
        <f>LEN(Dados!A10)</f>
        <v>90</v>
      </c>
      <c r="B10" t="str">
        <f>MID(Dados!A10,SEARCH("=",Dados!A10)+2,(((SEARCH(" ",Dados!A10,SEARCH("=",Dados!A10)+2))-(SEARCH("=",Dados!A10)+2))))</f>
        <v>11</v>
      </c>
      <c r="C10" t="str">
        <f>MID(Dados!A10,SEARCH(" ",Dados!A10,8)+1,(SEARCH(" ",Dados!A10,12))-(SEARCH(" ",Dados!A10,8)+1))</f>
        <v>ShortSword(S.C)</v>
      </c>
      <c r="D10" t="str">
        <f>RIGHT(Dados!A10,A10-SEARCH(C10,Dados!A10)-LEN(C10))</f>
        <v>1 8 1 2 7 1 2 6 1 800 0 1 1 -100 800 2 2 0 0 0 -5 7 1 0 -1 -1 -1</v>
      </c>
      <c r="O10">
        <f t="shared" si="0"/>
        <v>26</v>
      </c>
    </row>
    <row r="11" spans="1:31" x14ac:dyDescent="0.3">
      <c r="A11">
        <f>LEN(Dados!A11)</f>
        <v>83</v>
      </c>
      <c r="B11" t="str">
        <f>MID(Dados!A11,SEARCH("=",Dados!A11)+2,(((SEARCH(" ",Dados!A11,SEARCH("=",Dados!A11)+2))-(SEARCH("=",Dados!A11)+2))))</f>
        <v>12</v>
      </c>
      <c r="C11" t="str">
        <f>MID(Dados!A11,SEARCH(" ",Dados!A11,8)+1,(SEARCH(" ",Dados!A11,12))-(SEARCH(" ",Dados!A11,8)+1))</f>
        <v>MainGauche</v>
      </c>
      <c r="D11" t="str">
        <f>RIGHT(Dados!A11,A11-SEARCH(C11,Dados!A11)-LEN(C11))</f>
        <v>1 8 1 2 8 1 2 7 1 500 0 1 1 50 800 2 2 0 0 0 -2 7 1 0 -1 -1 -1</v>
      </c>
      <c r="O11">
        <f t="shared" si="0"/>
        <v>26</v>
      </c>
    </row>
    <row r="12" spans="1:31" x14ac:dyDescent="0.3">
      <c r="A12">
        <f>LEN(Dados!A12)</f>
        <v>87</v>
      </c>
      <c r="B12" t="str">
        <f>MID(Dados!A12,SEARCH("=",Dados!A12)+2,(((SEARCH(" ",Dados!A12,SEARCH("=",Dados!A12)+2))-(SEARCH("=",Dados!A12)+2))))</f>
        <v>13</v>
      </c>
      <c r="C12" t="str">
        <f>MID(Dados!A12,SEARCH(" ",Dados!A12,8)+1,(SEARCH(" ",Dados!A12,12))-(SEARCH(" ",Dados!A12,8)+1))</f>
        <v>MainGauche+1</v>
      </c>
      <c r="D12" t="str">
        <f>RIGHT(Dados!A12,A12-SEARCH(C12,Dados!A12)-LEN(C12))</f>
        <v>1 8 1 2 8 2 2 7 2 800 0 1 1 200 800 2 2 15 0 0 -2 7 1 0 -1 -1 -1</v>
      </c>
      <c r="O12">
        <f t="shared" si="0"/>
        <v>26</v>
      </c>
    </row>
    <row r="13" spans="1:31" x14ac:dyDescent="0.3">
      <c r="A13">
        <f>LEN(Dados!A13)</f>
        <v>90</v>
      </c>
      <c r="B13" t="str">
        <f>MID(Dados!A13,SEARCH("=",Dados!A13)+2,(((SEARCH(" ",Dados!A13,SEARCH("=",Dados!A13)+2))-(SEARCH("=",Dados!A13)+2))))</f>
        <v>14</v>
      </c>
      <c r="C13" t="str">
        <f>MID(Dados!A13,SEARCH(" ",Dados!A13,8)+1,(SEARCH(" ",Dados!A13,12))-(SEARCH(" ",Dados!A13,8)+1))</f>
        <v>MainGauche(S.C)</v>
      </c>
      <c r="D13" t="str">
        <f>RIGHT(Dados!A13,A13-SEARCH(C13,Dados!A13)-LEN(C13))</f>
        <v>1 8 1 2 7 1 2 5 1 800 0 1 1 -100 800 2 2 0 0 0 -2 7 1 0 -1 -1 -1</v>
      </c>
      <c r="O13">
        <f t="shared" si="0"/>
        <v>26</v>
      </c>
    </row>
    <row r="14" spans="1:31" x14ac:dyDescent="0.3">
      <c r="A14">
        <f>LEN(Dados!A14)</f>
        <v>80</v>
      </c>
      <c r="B14" t="str">
        <f>MID(Dados!A14,SEARCH("=",Dados!A14)+2,(((SEARCH(" ",Dados!A14,SEARCH("=",Dados!A14)+2))-(SEARCH("=",Dados!A14)+2))))</f>
        <v>15</v>
      </c>
      <c r="C14" t="str">
        <f>MID(Dados!A14,SEARCH(" ",Dados!A14,8)+1,(SEARCH(" ",Dados!A14,12))-(SEARCH(" ",Dados!A14,8)+1))</f>
        <v>Gradius</v>
      </c>
      <c r="D14" t="str">
        <f>RIGHT(Dados!A14,A14-SEARCH(C14,Dados!A14)-LEN(C14))</f>
        <v>1 8 1 2 9 1 2 8 1 500 0 1 1 90 800 2 2 0 0 0 -2 7 1 0 -1 -1 -1</v>
      </c>
      <c r="O14">
        <f t="shared" si="0"/>
        <v>26</v>
      </c>
    </row>
    <row r="15" spans="1:31" x14ac:dyDescent="0.3">
      <c r="A15">
        <f>LEN(Dados!A15)</f>
        <v>84</v>
      </c>
      <c r="B15" t="str">
        <f>MID(Dados!A15,SEARCH("=",Dados!A15)+2,(((SEARCH(" ",Dados!A15,SEARCH("=",Dados!A15)+2))-(SEARCH("=",Dados!A15)+2))))</f>
        <v>16</v>
      </c>
      <c r="C15" t="str">
        <f>MID(Dados!A15,SEARCH(" ",Dados!A15,8)+1,(SEARCH(" ",Dados!A15,12))-(SEARCH(" ",Dados!A15,8)+1))</f>
        <v>Gradius+1</v>
      </c>
      <c r="D15" t="str">
        <f>RIGHT(Dados!A15,A15-SEARCH(C15,Dados!A15)-LEN(C15))</f>
        <v>1 8 1 2 9 2 2 8 2 800 0 1 1 350 800 2 2 20 0 0 -2 7 1 0 -1 -1 -1</v>
      </c>
      <c r="O15">
        <f t="shared" si="0"/>
        <v>26</v>
      </c>
    </row>
    <row r="16" spans="1:31" x14ac:dyDescent="0.3">
      <c r="A16">
        <f>LEN(Dados!A16)</f>
        <v>86</v>
      </c>
      <c r="B16" t="str">
        <f>MID(Dados!A16,SEARCH("=",Dados!A16)+2,(((SEARCH(" ",Dados!A16,SEARCH("=",Dados!A16)+2))-(SEARCH("=",Dados!A16)+2))))</f>
        <v>17</v>
      </c>
      <c r="C16" t="str">
        <f>MID(Dados!A16,SEARCH(" ",Dados!A16,8)+1,(SEARCH(" ",Dados!A16,12))-(SEARCH(" ",Dados!A16,8)+1))</f>
        <v>LongSword</v>
      </c>
      <c r="D16" t="str">
        <f>RIGHT(Dados!A16,A16-SEARCH(C16,Dados!A16)-LEN(C16))</f>
        <v>1 8 1 2 10 1 2 11 1 800 0 1 2 180 1400 3 6 0 0 -1 0 8 1 0 -1 -1 -1</v>
      </c>
      <c r="O16">
        <f t="shared" si="0"/>
        <v>26</v>
      </c>
    </row>
    <row r="17" spans="1:15" x14ac:dyDescent="0.3">
      <c r="A17">
        <f>LEN(Dados!A17)</f>
        <v>90</v>
      </c>
      <c r="B17" t="str">
        <f>MID(Dados!A17,SEARCH("=",Dados!A17)+2,(((SEARCH(" ",Dados!A17,SEARCH("=",Dados!A17)+2))-(SEARCH("=",Dados!A17)+2))))</f>
        <v>18</v>
      </c>
      <c r="C17" t="str">
        <f>MID(Dados!A17,SEARCH(" ",Dados!A17,8)+1,(SEARCH(" ",Dados!A17,12))-(SEARCH(" ",Dados!A17,8)+1))</f>
        <v>LongSword+1</v>
      </c>
      <c r="D17" t="str">
        <f>RIGHT(Dados!A17,A17-SEARCH(C17,Dados!A17)-LEN(C17))</f>
        <v>1 8 1 2 10 2 2 11 2 1400 0 1 2 650 1400 3 6 25 0 -1 0 8 1 0 -1 -1 -1</v>
      </c>
      <c r="O17">
        <f t="shared" si="0"/>
        <v>26</v>
      </c>
    </row>
    <row r="18" spans="1:15" x14ac:dyDescent="0.3">
      <c r="A18">
        <f>LEN(Dados!A18)</f>
        <v>92</v>
      </c>
      <c r="B18" t="str">
        <f>MID(Dados!A18,SEARCH("=",Dados!A18)+2,(((SEARCH(" ",Dados!A18,SEARCH("=",Dados!A18)+2))-(SEARCH("=",Dados!A18)+2))))</f>
        <v>19</v>
      </c>
      <c r="C18" t="str">
        <f>MID(Dados!A18,SEARCH(" ",Dados!A18,8)+1,(SEARCH(" ",Dados!A18,12))-(SEARCH(" ",Dados!A18,8)+1))</f>
        <v>LongSword+2</v>
      </c>
      <c r="D18" t="str">
        <f>RIGHT(Dados!A18,A18-SEARCH(C18,Dados!A18)-LEN(C18))</f>
        <v>1 8 1 2 10 3 2 11 3 1400 0 1 2 -2600 1600 3 6 50 0 -1 0 8 1 0 -1 -1 -1</v>
      </c>
      <c r="O18">
        <f t="shared" si="0"/>
        <v>26</v>
      </c>
    </row>
    <row r="19" spans="1:15" x14ac:dyDescent="0.3">
      <c r="A19">
        <f>LEN(Dados!A19)</f>
        <v>91</v>
      </c>
      <c r="B19" t="str">
        <f>MID(Dados!A19,SEARCH("=",Dados!A19)+2,(((SEARCH(" ",Dados!A19,SEARCH("=",Dados!A19)+2))-(SEARCH("=",Dados!A19)+2))))</f>
        <v>20</v>
      </c>
      <c r="C19" t="str">
        <f>MID(Dados!A19,SEARCH(" ",Dados!A19,8)+1,(SEARCH(" ",Dados!A19,12))-(SEARCH(" ",Dados!A19,8)+1))</f>
        <v>Excaliber</v>
      </c>
      <c r="D19" t="str">
        <f>RIGHT(Dados!A19,A19-SEARCH(C19,Dados!A19)-LEN(C19))</f>
        <v>1 8 1 3 11 5 3 13 5 8000 0 1 19 -31000 4000 5 0 0 0 -1 0 8 1 0 -1 -1 -1</v>
      </c>
      <c r="O19">
        <f t="shared" si="0"/>
        <v>26</v>
      </c>
    </row>
    <row r="20" spans="1:15" x14ac:dyDescent="0.3">
      <c r="A20">
        <f>LEN(Dados!A20)</f>
        <v>92</v>
      </c>
      <c r="B20" t="str">
        <f>MID(Dados!A20,SEARCH("=",Dados!A20)+2,(((SEARCH(" ",Dados!A20,SEARCH("=",Dados!A20)+2))-(SEARCH("=",Dados!A20)+2))))</f>
        <v>22</v>
      </c>
      <c r="C20" t="str">
        <f>MID(Dados!A20,SEARCH(" ",Dados!A20,8)+1,(SEARCH(" ",Dados!A20,12))-(SEARCH(" ",Dados!A20,8)+1))</f>
        <v>LongSword(S.C)</v>
      </c>
      <c r="D20" t="str">
        <f>RIGHT(Dados!A20,A20-SEARCH(C20,Dados!A20)-LEN(C20))</f>
        <v>1 8 1 2 9 1 2 13 1 1400 0 1 2 -250 1400 3 6 0 0 -1 0 8 1 0 -1 -1 -1</v>
      </c>
      <c r="E20">
        <f t="shared" ref="E20:E66" si="1">LEN(D20)-LEN(SUBSTITUTE(D20," ",""))</f>
        <v>26</v>
      </c>
    </row>
    <row r="21" spans="1:15" x14ac:dyDescent="0.3">
      <c r="A21">
        <f>LEN(Dados!A21)</f>
        <v>81</v>
      </c>
      <c r="B21" t="str">
        <f>MID(Dados!A21,SEARCH("=",Dados!A21)+2,(((SEARCH(" ",Dados!A21,SEARCH("=",Dados!A21)+2))-(SEARCH("=",Dados!A21)+2))))</f>
        <v>23</v>
      </c>
      <c r="C21" t="str">
        <f>MID(Dados!A21,SEARCH(" ",Dados!A21,8)+1,(SEARCH(" ",Dados!A21,12))-(SEARCH(" ",Dados!A21,8)+1))</f>
        <v>Sabre</v>
      </c>
      <c r="D21" t="str">
        <f>RIGHT(Dados!A21,A21-SEARCH(C21,Dados!A21)-LEN(C21))</f>
        <v>1 8 1 2 9 1 2 10 1 800 0 1 3 150 1200 4 5 0 0 -1 0 8 1 0 -1 -1 -1</v>
      </c>
      <c r="E21">
        <f t="shared" si="1"/>
        <v>26</v>
      </c>
    </row>
    <row r="22" spans="1:15" x14ac:dyDescent="0.3">
      <c r="A22">
        <f>LEN(Dados!A22)</f>
        <v>85</v>
      </c>
      <c r="B22" t="str">
        <f>MID(Dados!A22,SEARCH("=",Dados!A22)+2,(((SEARCH(" ",Dados!A22,SEARCH("=",Dados!A22)+2))-(SEARCH("=",Dados!A22)+2))))</f>
        <v>24</v>
      </c>
      <c r="C22" t="str">
        <f>MID(Dados!A22,SEARCH(" ",Dados!A22,8)+1,(SEARCH(" ",Dados!A22,12))-(SEARCH(" ",Dados!A22,8)+1))</f>
        <v>Sabre+1</v>
      </c>
      <c r="D22" t="str">
        <f>RIGHT(Dados!A22,A22-SEARCH(C22,Dados!A22)-LEN(C22))</f>
        <v>1 8 1 2 9 2 2 10 2 1000 0 1 3 600 1200 4 5 20 0 -1 0 8 1 0 -1 -1 -1</v>
      </c>
      <c r="E22">
        <f t="shared" si="1"/>
        <v>26</v>
      </c>
    </row>
    <row r="23" spans="1:15" x14ac:dyDescent="0.3">
      <c r="A23">
        <f>LEN(Dados!A23)</f>
        <v>85</v>
      </c>
      <c r="B23" t="str">
        <f>MID(Dados!A23,SEARCH("=",Dados!A23)+2,(((SEARCH(" ",Dados!A23,SEARCH("=",Dados!A23)+2))-(SEARCH("=",Dados!A23)+2))))</f>
        <v>25</v>
      </c>
      <c r="C23" t="str">
        <f>MID(Dados!A23,SEARCH(" ",Dados!A23,8)+1,(SEARCH(" ",Dados!A23,12))-(SEARCH(" ",Dados!A23,8)+1))</f>
        <v>Scimitar</v>
      </c>
      <c r="D23" t="str">
        <f>RIGHT(Dados!A23,A23-SEARCH(C23,Dados!A23)-LEN(C23))</f>
        <v>1 8 1 2 11 1 2 13 1 800 0 1 4 200 1800 6 6 0 0 -1 3 8 1 0 -1 -1 -1</v>
      </c>
      <c r="E23">
        <f t="shared" si="1"/>
        <v>26</v>
      </c>
    </row>
    <row r="24" spans="1:15" x14ac:dyDescent="0.3">
      <c r="A24">
        <f>LEN(Dados!A24)</f>
        <v>89</v>
      </c>
      <c r="B24" t="str">
        <f>MID(Dados!A24,SEARCH("=",Dados!A24)+2,(((SEARCH(" ",Dados!A24,SEARCH("=",Dados!A24)+2))-(SEARCH("=",Dados!A24)+2))))</f>
        <v>26</v>
      </c>
      <c r="C24" t="str">
        <f>MID(Dados!A24,SEARCH(" ",Dados!A24,8)+1,(SEARCH(" ",Dados!A24,12))-(SEARCH(" ",Dados!A24,8)+1))</f>
        <v>Scimitar+1</v>
      </c>
      <c r="D24" t="str">
        <f>RIGHT(Dados!A24,A24-SEARCH(C24,Dados!A24)-LEN(C24))</f>
        <v>1 8 1 2 11 2 2 13 2 1000 0 1 4 800 1800 6 6 30 0 -1 3 8 1 0 -1 -1 -1</v>
      </c>
      <c r="E24">
        <f t="shared" si="1"/>
        <v>26</v>
      </c>
    </row>
    <row r="25" spans="1:15" x14ac:dyDescent="0.3">
      <c r="A25">
        <f>LEN(Dados!A25)</f>
        <v>91</v>
      </c>
      <c r="B25" t="str">
        <f>MID(Dados!A25,SEARCH("=",Dados!A25)+2,(((SEARCH(" ",Dados!A25,SEARCH("=",Dados!A25)+2))-(SEARCH("=",Dados!A25)+2))))</f>
        <v>27</v>
      </c>
      <c r="C25" t="str">
        <f>MID(Dados!A25,SEARCH(" ",Dados!A25,8)+1,(SEARCH(" ",Dados!A25,12))-(SEARCH(" ",Dados!A25,8)+1))</f>
        <v>Scimitar+2</v>
      </c>
      <c r="D25" t="str">
        <f>RIGHT(Dados!A25,A25-SEARCH(C25,Dados!A25)-LEN(C25))</f>
        <v>1 8 1 2 11 3 2 13 3 1000 0 1 4 -3200 2000 6 6 70 0 -1 3 8 1 0 -1 -1 -1</v>
      </c>
      <c r="E25">
        <f t="shared" si="1"/>
        <v>26</v>
      </c>
    </row>
    <row r="26" spans="1:15" x14ac:dyDescent="0.3">
      <c r="A26">
        <f>LEN(Dados!A26)</f>
        <v>85</v>
      </c>
      <c r="B26" t="str">
        <f>MID(Dados!A26,SEARCH("=",Dados!A26)+2,(((SEARCH(" ",Dados!A26,SEARCH("=",Dados!A26)+2))-(SEARCH("=",Dados!A26)+2))))</f>
        <v>28</v>
      </c>
      <c r="C26" t="str">
        <f>MID(Dados!A26,SEARCH(" ",Dados!A26,8)+1,(SEARCH(" ",Dados!A26,12))-(SEARCH(" ",Dados!A26,8)+1))</f>
        <v>Falchion</v>
      </c>
      <c r="D26" t="str">
        <f>RIGHT(Dados!A26,A26-SEARCH(C26,Dados!A26)-LEN(C26))</f>
        <v xml:space="preserve">  1 8 1 2 1 1 3 8 1 800 0 1 5 250 2200 6 6 0 0 -2 2 8 1 0 -1 -1 -1</v>
      </c>
      <c r="E26">
        <f t="shared" si="1"/>
        <v>28</v>
      </c>
    </row>
    <row r="27" spans="1:15" x14ac:dyDescent="0.3">
      <c r="A27">
        <f>LEN(Dados!A27)</f>
        <v>88</v>
      </c>
      <c r="B27" t="str">
        <f>MID(Dados!A27,SEARCH("=",Dados!A27)+2,(((SEARCH(" ",Dados!A27,SEARCH("=",Dados!A27)+2))-(SEARCH("=",Dados!A27)+2))))</f>
        <v>29</v>
      </c>
      <c r="C27" t="str">
        <f>MID(Dados!A27,SEARCH(" ",Dados!A27,8)+1,(SEARCH(" ",Dados!A27,12))-(SEARCH(" ",Dados!A27,8)+1))</f>
        <v>Falchion+1</v>
      </c>
      <c r="D27" t="str">
        <f>RIGHT(Dados!A27,A27-SEARCH(C27,Dados!A27)-LEN(C27))</f>
        <v>1 8 1 2 2 2 3 8 2 1400 0 1 5 1000 2200 6 6 35 0 -2 2 8 1 0 -1 -1 -1</v>
      </c>
      <c r="E27">
        <f t="shared" si="1"/>
        <v>26</v>
      </c>
    </row>
    <row r="28" spans="1:15" x14ac:dyDescent="0.3">
      <c r="A28">
        <f>LEN(Dados!A28)</f>
        <v>89</v>
      </c>
      <c r="B28" t="str">
        <f>MID(Dados!A28,SEARCH("=",Dados!A28)+2,(((SEARCH(" ",Dados!A28,SEARCH("=",Dados!A28)+2))-(SEARCH("=",Dados!A28)+2))))</f>
        <v>30</v>
      </c>
      <c r="C28" t="str">
        <f>MID(Dados!A28,SEARCH(" ",Dados!A28,8)+1,(SEARCH(" ",Dados!A28,12))-(SEARCH(" ",Dados!A28,8)+1))</f>
        <v>Falchion+2</v>
      </c>
      <c r="D28" t="str">
        <f>RIGHT(Dados!A28,A28-SEARCH(C28,Dados!A28)-LEN(C28))</f>
        <v>1 8 1 2 2 3 3 8 3 1400 0 1 5 -4000 2200 6 6 70 0 -2 2 8 1 0 -1 -1 -1</v>
      </c>
      <c r="E28">
        <f t="shared" si="1"/>
        <v>26</v>
      </c>
    </row>
    <row r="29" spans="1:15" x14ac:dyDescent="0.3">
      <c r="A29">
        <f>LEN(Dados!A29)</f>
        <v>83</v>
      </c>
      <c r="B29" t="str">
        <f>MID(Dados!A29,SEARCH("=",Dados!A29)+2,(((SEARCH(" ",Dados!A29,SEARCH("=",Dados!A29)+2))-(SEARCH("=",Dados!A29)+2))))</f>
        <v>31</v>
      </c>
      <c r="C29" t="str">
        <f>MID(Dados!A29,SEARCH(" ",Dados!A29,8)+1,(SEARCH(" ",Dados!A29,12))-(SEARCH(" ",Dados!A29,8)+1))</f>
        <v>Esterk</v>
      </c>
      <c r="D29" t="str">
        <f>RIGHT(Dados!A29,A29-SEARCH(C29,Dados!A29)-LEN(C29))</f>
        <v xml:space="preserve">  1 8 1 2 1 1 2 13 1 800 0 1 6 400 1200 7 4 0 0 0 0 9 1 0 -1 -1 -1</v>
      </c>
      <c r="E29">
        <f t="shared" si="1"/>
        <v>28</v>
      </c>
    </row>
    <row r="30" spans="1:15" x14ac:dyDescent="0.3">
      <c r="A30">
        <f>LEN(Dados!A30)</f>
        <v>85</v>
      </c>
      <c r="B30" t="str">
        <f>MID(Dados!A30,SEARCH("=",Dados!A30)+2,(((SEARCH(" ",Dados!A30,SEARCH("=",Dados!A30)+2))-(SEARCH("=",Dados!A30)+2))))</f>
        <v>32</v>
      </c>
      <c r="C30" t="str">
        <f>MID(Dados!A30,SEARCH(" ",Dados!A30,8)+1,(SEARCH(" ",Dados!A30,12))-(SEARCH(" ",Dados!A30,8)+1))</f>
        <v>Esterk+1</v>
      </c>
      <c r="D30" t="str">
        <f>RIGHT(Dados!A30,A30-SEARCH(C30,Dados!A30)-LEN(C30))</f>
        <v>1 8 1 2 1 2 2 13 2 1400 0 1 6 800 1200 7 4 20 0 0 0 9 1 0 -1 -1 -1</v>
      </c>
      <c r="E30">
        <f t="shared" si="1"/>
        <v>26</v>
      </c>
    </row>
    <row r="31" spans="1:15" x14ac:dyDescent="0.3">
      <c r="A31">
        <f>LEN(Dados!A31)</f>
        <v>87</v>
      </c>
      <c r="B31" t="str">
        <f>MID(Dados!A31,SEARCH("=",Dados!A31)+2,(((SEARCH(" ",Dados!A31,SEARCH("=",Dados!A31)+2))-(SEARCH("=",Dados!A31)+2))))</f>
        <v>33</v>
      </c>
      <c r="C31" t="str">
        <f>MID(Dados!A31,SEARCH(" ",Dados!A31,8)+1,(SEARCH(" ",Dados!A31,12))-(SEARCH(" ",Dados!A31,8)+1))</f>
        <v>Esterk+2</v>
      </c>
      <c r="D31" t="str">
        <f>RIGHT(Dados!A31,A31-SEARCH(C31,Dados!A31)-LEN(C31))</f>
        <v>1 8 1 2 1 3 2 13 3 1400 0 1 6 -3200 1200 7 4 70 0 0 0 9 1 0 -1 -1 -1</v>
      </c>
      <c r="E31">
        <f t="shared" si="1"/>
        <v>26</v>
      </c>
    </row>
    <row r="32" spans="1:15" x14ac:dyDescent="0.3">
      <c r="A32">
        <f>LEN(Dados!A32)</f>
        <v>81</v>
      </c>
      <c r="B32" t="str">
        <f>MID(Dados!A32,SEARCH("=",Dados!A32)+2,(((SEARCH(" ",Dados!A32,SEARCH("=",Dados!A32)+2))-(SEARCH("=",Dados!A32)+2))))</f>
        <v>34</v>
      </c>
      <c r="C32" t="str">
        <f>MID(Dados!A32,SEARCH(" ",Dados!A32,8)+1,(SEARCH(" ",Dados!A32,12))-(SEARCH(" ",Dados!A32,8)+1))</f>
        <v>Rapier</v>
      </c>
      <c r="D32" t="str">
        <f>RIGHT(Dados!A32,A32-SEARCH(C32,Dados!A32)-LEN(C32))</f>
        <v>1 8 1 2 8 1 2 11 1 800 0 1 6 300 1100 7 3 0 0 0 0 9 1 0 -1 -1 -1</v>
      </c>
      <c r="E32">
        <f t="shared" si="1"/>
        <v>26</v>
      </c>
    </row>
    <row r="33" spans="1:5" x14ac:dyDescent="0.3">
      <c r="A33">
        <f>LEN(Dados!A33)</f>
        <v>86</v>
      </c>
      <c r="B33" t="str">
        <f>MID(Dados!A33,SEARCH("=",Dados!A33)+2,(((SEARCH(" ",Dados!A33,SEARCH("=",Dados!A33)+2))-(SEARCH("=",Dados!A33)+2))))</f>
        <v>35</v>
      </c>
      <c r="C33" t="str">
        <f>MID(Dados!A33,SEARCH(" ",Dados!A33,8)+1,(SEARCH(" ",Dados!A33,12))-(SEARCH(" ",Dados!A33,8)+1))</f>
        <v>Rapier+1</v>
      </c>
      <c r="D33" t="str">
        <f>RIGHT(Dados!A33,A33-SEARCH(C33,Dados!A33)-LEN(C33))</f>
        <v>1 8 1 2 8 2 2 11 2 1000 0 1 6 1300 1100 7 3 30 0 0 0 9 1 0 -1 -1 -1</v>
      </c>
      <c r="E33">
        <f t="shared" si="1"/>
        <v>26</v>
      </c>
    </row>
    <row r="34" spans="1:5" x14ac:dyDescent="0.3">
      <c r="A34">
        <f>LEN(Dados!A34)</f>
        <v>87</v>
      </c>
      <c r="B34" t="str">
        <f>MID(Dados!A34,SEARCH("=",Dados!A34)+2,(((SEARCH(" ",Dados!A34,SEARCH("=",Dados!A34)+2))-(SEARCH("=",Dados!A34)+2))))</f>
        <v>36</v>
      </c>
      <c r="C34" t="str">
        <f>MID(Dados!A34,SEARCH(" ",Dados!A34,8)+1,(SEARCH(" ",Dados!A34,12))-(SEARCH(" ",Dados!A34,8)+1))</f>
        <v>Rapier+2</v>
      </c>
      <c r="D34" t="str">
        <f>RIGHT(Dados!A34,A34-SEARCH(C34,Dados!A34)-LEN(C34))</f>
        <v>1 8 1 2 8 3 2 11 3 1000 0 1 6 -5200 1100 7 3 70 0 0 0 9 1 0 -1 -1 -1</v>
      </c>
      <c r="E34">
        <f t="shared" si="1"/>
        <v>26</v>
      </c>
    </row>
    <row r="35" spans="1:5" x14ac:dyDescent="0.3">
      <c r="A35">
        <f>LEN(Dados!A35)</f>
        <v>91</v>
      </c>
      <c r="B35" t="str">
        <f>MID(Dados!A35,SEARCH("=",Dados!A35)+2,(((SEARCH(" ",Dados!A35,SEARCH("=",Dados!A35)+2))-(SEARCH("=",Dados!A35)+2))))</f>
        <v>37</v>
      </c>
      <c r="C35" t="str">
        <f>MID(Dados!A35,SEARCH(" ",Dados!A35,8)+1,(SEARCH(" ",Dados!A35,12))-(SEARCH(" ",Dados!A35,8)+1))</f>
        <v>TemplerSword</v>
      </c>
      <c r="D35" t="str">
        <f>RIGHT(Dados!A35,A35-SEARCH(C35,Dados!A35)-LEN(C35))</f>
        <v>1 8 1 2 9 1 2 13 1 1000 0 1 6 -1000 1200 7 5 0 0 -1 1 8 1 0 -1 -1 -1</v>
      </c>
      <c r="E35">
        <f t="shared" si="1"/>
        <v>26</v>
      </c>
    </row>
    <row r="36" spans="1:5" x14ac:dyDescent="0.3">
      <c r="A36">
        <f>LEN(Dados!A36)</f>
        <v>87</v>
      </c>
      <c r="B36" t="str">
        <f>MID(Dados!A36,SEARCH("=",Dados!A36)+2,(((SEARCH(" ",Dados!A36,SEARCH("=",Dados!A36)+2))-(SEARCH("=",Dados!A36)+2))))</f>
        <v>38</v>
      </c>
      <c r="C36" t="str">
        <f>MID(Dados!A36,SEARCH(" ",Dados!A36,8)+1,(SEARCH(" ",Dados!A36,12))-(SEARCH(" ",Dados!A36,8)+1))</f>
        <v>BroadSword</v>
      </c>
      <c r="D36" t="str">
        <f>RIGHT(Dados!A36,A36-SEARCH(C36,Dados!A36)-LEN(C36))</f>
        <v xml:space="preserve">  1 9 1 3 1 1 3 9 1 800 0 1 7 250 2800 8 6 0 0 -3 2 8 1 0 -1 -1 -1</v>
      </c>
      <c r="E36">
        <f t="shared" si="1"/>
        <v>28</v>
      </c>
    </row>
    <row r="37" spans="1:5" x14ac:dyDescent="0.3">
      <c r="A37">
        <f>LEN(Dados!A37)</f>
        <v>90</v>
      </c>
      <c r="B37" t="str">
        <f>MID(Dados!A37,SEARCH("=",Dados!A37)+2,(((SEARCH(" ",Dados!A37,SEARCH("=",Dados!A37)+2))-(SEARCH("=",Dados!A37)+2))))</f>
        <v>39</v>
      </c>
      <c r="C37" t="str">
        <f>MID(Dados!A37,SEARCH(" ",Dados!A37,8)+1,(SEARCH(" ",Dados!A37,12))-(SEARCH(" ",Dados!A37,8)+1))</f>
        <v>BroadSword+1</v>
      </c>
      <c r="D37" t="str">
        <f>RIGHT(Dados!A37,A37-SEARCH(C37,Dados!A37)-LEN(C37))</f>
        <v>1 9 1 3 1 1 3 9 2 1400 0 1 7 1100 2800 8 6 30 0 -3 2 8 1 0 -1 -1 -1</v>
      </c>
      <c r="E37">
        <f t="shared" si="1"/>
        <v>26</v>
      </c>
    </row>
    <row r="38" spans="1:5" x14ac:dyDescent="0.3">
      <c r="A38">
        <f>LEN(Dados!A38)</f>
        <v>91</v>
      </c>
      <c r="B38" t="str">
        <f>MID(Dados!A38,SEARCH("=",Dados!A38)+2,(((SEARCH(" ",Dados!A38,SEARCH("=",Dados!A38)+2))-(SEARCH("=",Dados!A38)+2))))</f>
        <v>40</v>
      </c>
      <c r="C38" t="str">
        <f>MID(Dados!A38,SEARCH(" ",Dados!A38,8)+1,(SEARCH(" ",Dados!A38,12))-(SEARCH(" ",Dados!A38,8)+1))</f>
        <v>BroadSword+2</v>
      </c>
      <c r="D38" t="str">
        <f>RIGHT(Dados!A38,A38-SEARCH(C38,Dados!A38)-LEN(C38))</f>
        <v>1 9 1 3 1 2 3 9 3 1400 0 1 7 -4400 2800 8 6 70 0 -3 2 8 1 0 -1 -1 -1</v>
      </c>
      <c r="E38">
        <f t="shared" si="1"/>
        <v>26</v>
      </c>
    </row>
    <row r="39" spans="1:5" x14ac:dyDescent="0.3">
      <c r="A39">
        <f>LEN(Dados!A39)</f>
        <v>92</v>
      </c>
      <c r="B39" t="str">
        <f>MID(Dados!A39,SEARCH("=",Dados!A39)+2,(((SEARCH(" ",Dados!A39,SEARCH("=",Dados!A39)+2))-(SEARCH("=",Dados!A39)+2))))</f>
        <v>41</v>
      </c>
      <c r="C39" t="str">
        <f>MID(Dados!A39,SEARCH(" ",Dados!A39,8)+1,(SEARCH(" ",Dados!A39,12))-(SEARCH(" ",Dados!A39,8)+1))</f>
        <v>BroadSword(S.C)</v>
      </c>
      <c r="D39" t="str">
        <f>RIGHT(Dados!A39,A39-SEARCH(C39,Dados!A39)-LEN(C39))</f>
        <v>1 9 1 3 8 1 3 9 1 1400 0 1 7 -400 2800 8 6 0 0 -3 2 8 1 0 -1 -1 -1</v>
      </c>
      <c r="E39">
        <f t="shared" si="1"/>
        <v>26</v>
      </c>
    </row>
    <row r="40" spans="1:5" x14ac:dyDescent="0.3">
      <c r="A40">
        <f>LEN(Dados!A40)</f>
        <v>89</v>
      </c>
      <c r="B40" t="str">
        <f>MID(Dados!A40,SEARCH("=",Dados!A40)+2,(((SEARCH(" ",Dados!A40,SEARCH("=",Dados!A40)+2))-(SEARCH("=",Dados!A40)+2))))</f>
        <v>42</v>
      </c>
      <c r="C40" t="str">
        <f>MID(Dados!A40,SEARCH(" ",Dados!A40,8)+1,(SEARCH(" ",Dados!A40,12))-(SEARCH(" ",Dados!A40,8)+1))</f>
        <v>BastadSword</v>
      </c>
      <c r="D40" t="str">
        <f>RIGHT(Dados!A40,A40-SEARCH(C40,Dados!A40)-LEN(C40))</f>
        <v xml:space="preserve">  1 9 1 1 2 1 3 10 1 800 0 1 8 300 3300 9 6 0 0 -4 3 8 1 0 -1 -1 -1</v>
      </c>
      <c r="E40">
        <f t="shared" si="1"/>
        <v>28</v>
      </c>
    </row>
    <row r="41" spans="1:5" x14ac:dyDescent="0.3">
      <c r="A41">
        <f>LEN(Dados!A41)</f>
        <v>92</v>
      </c>
      <c r="B41" t="str">
        <f>MID(Dados!A41,SEARCH("=",Dados!A41)+2,(((SEARCH(" ",Dados!A41,SEARCH("=",Dados!A41)+2))-(SEARCH("=",Dados!A41)+2))))</f>
        <v>43</v>
      </c>
      <c r="C41" t="str">
        <f>MID(Dados!A41,SEARCH(" ",Dados!A41,8)+1,(SEARCH(" ",Dados!A41,12))-(SEARCH(" ",Dados!A41,8)+1))</f>
        <v>BastadSword+1</v>
      </c>
      <c r="D41" t="str">
        <f>RIGHT(Dados!A41,A41-SEARCH(C41,Dados!A41)-LEN(C41))</f>
        <v>1 9 1 1 2 2 3 10 2 1400 0 1 8 1200 3300 9 6 35 0 -4 3 8 1 0 -1 -1 -1</v>
      </c>
      <c r="E41">
        <f t="shared" si="1"/>
        <v>26</v>
      </c>
    </row>
    <row r="42" spans="1:5" x14ac:dyDescent="0.3">
      <c r="A42">
        <f>LEN(Dados!A42)</f>
        <v>93</v>
      </c>
      <c r="B42" t="str">
        <f>MID(Dados!A42,SEARCH("=",Dados!A42)+2,(((SEARCH(" ",Dados!A42,SEARCH("=",Dados!A42)+2))-(SEARCH("=",Dados!A42)+2))))</f>
        <v>44</v>
      </c>
      <c r="C42" t="str">
        <f>MID(Dados!A42,SEARCH(" ",Dados!A42,8)+1,(SEARCH(" ",Dados!A42,12))-(SEARCH(" ",Dados!A42,8)+1))</f>
        <v>BastadSword+2</v>
      </c>
      <c r="D42" t="str">
        <f>RIGHT(Dados!A42,A42-SEARCH(C42,Dados!A42)-LEN(C42))</f>
        <v>1 9 1 1 2 3 3 10 3 1400 0 1 8 -4800 3300 9 6 70 0 -4 3 8 1 0 -1 -1 -1</v>
      </c>
      <c r="E42">
        <f t="shared" si="1"/>
        <v>26</v>
      </c>
    </row>
    <row r="43" spans="1:5" x14ac:dyDescent="0.3">
      <c r="A43">
        <f>LEN(Dados!A43)</f>
        <v>94</v>
      </c>
      <c r="B43" t="str">
        <f>MID(Dados!A43,SEARCH("=",Dados!A43)+2,(((SEARCH(" ",Dados!A43,SEARCH("=",Dados!A43)+2))-(SEARCH("=",Dados!A43)+2))))</f>
        <v>45</v>
      </c>
      <c r="C43" t="str">
        <f>MID(Dados!A43,SEARCH(" ",Dados!A43,8)+1,(SEARCH(" ",Dados!A43,12))-(SEARCH(" ",Dados!A43,8)+1))</f>
        <v>BastadSword(S.C)</v>
      </c>
      <c r="D43" t="str">
        <f>RIGHT(Dados!A43,A43-SEARCH(C43,Dados!A43)-LEN(C43))</f>
        <v>1 9 1 1 2 4 3 10 1 1400 0 1 8 -450 3300 9 6 0 0 -4 3 8 1 0 -1 -1 -1</v>
      </c>
      <c r="E43">
        <f t="shared" si="1"/>
        <v>26</v>
      </c>
    </row>
    <row r="44" spans="1:5" x14ac:dyDescent="0.3">
      <c r="A44">
        <f>LEN(Dados!A44)</f>
        <v>88</v>
      </c>
      <c r="B44" t="str">
        <f>MID(Dados!A44,SEARCH("=",Dados!A44)+2,(((SEARCH(" ",Dados!A44,SEARCH("=",Dados!A44)+2))-(SEARCH("=",Dados!A44)+2))))</f>
        <v>46</v>
      </c>
      <c r="C44" t="str">
        <f>MID(Dados!A44,SEARCH(" ",Dados!A44,8)+1,(SEARCH(" ",Dados!A44,12))-(SEARCH(" ",Dados!A44,8)+1))</f>
        <v>Claymore</v>
      </c>
      <c r="D44" t="str">
        <f>RIGHT(Dados!A44,A44-SEARCH(C44,Dados!A44)-LEN(C44))</f>
        <v xml:space="preserve">  1 9 1 1 1 1 3 11 1 1000 0 1 9 400 4000 10 7 0 0 -5 4 8 1 0 -1 -1 -1</v>
      </c>
      <c r="E44">
        <f t="shared" si="1"/>
        <v>28</v>
      </c>
    </row>
    <row r="45" spans="1:5" x14ac:dyDescent="0.3">
      <c r="A45">
        <f>LEN(Dados!A45)</f>
        <v>90</v>
      </c>
      <c r="B45" t="str">
        <f>MID(Dados!A45,SEARCH("=",Dados!A45)+2,(((SEARCH(" ",Dados!A45,SEARCH("=",Dados!A45)+2))-(SEARCH("=",Dados!A45)+2))))</f>
        <v>47</v>
      </c>
      <c r="C45" t="str">
        <f>MID(Dados!A45,SEARCH(" ",Dados!A45,8)+1,(SEARCH(" ",Dados!A45,12))-(SEARCH(" ",Dados!A45,8)+1))</f>
        <v>Claymore+1</v>
      </c>
      <c r="D45" t="str">
        <f>RIGHT(Dados!A45,A45-SEARCH(C45,Dados!A45)-LEN(C45))</f>
        <v>1 9 1 1 1 2 3 11 2 1400 0 1 9 1800 4000 10 7 40 0 -5 4 8 1 0 -1 -1 -1</v>
      </c>
      <c r="E45">
        <f t="shared" si="1"/>
        <v>26</v>
      </c>
    </row>
    <row r="46" spans="1:5" x14ac:dyDescent="0.3">
      <c r="A46">
        <f>LEN(Dados!A46)</f>
        <v>91</v>
      </c>
      <c r="B46" t="str">
        <f>MID(Dados!A46,SEARCH("=",Dados!A46)+2,(((SEARCH(" ",Dados!A46,SEARCH("=",Dados!A46)+2))-(SEARCH("=",Dados!A46)+2))))</f>
        <v>48</v>
      </c>
      <c r="C46" t="str">
        <f>MID(Dados!A46,SEARCH(" ",Dados!A46,8)+1,(SEARCH(" ",Dados!A46,12))-(SEARCH(" ",Dados!A46,8)+1))</f>
        <v>Claymore+2</v>
      </c>
      <c r="D46" t="str">
        <f>RIGHT(Dados!A46,A46-SEARCH(C46,Dados!A46)-LEN(C46))</f>
        <v>1 9 1 3 1 1 4 11 3 1400 0 1 9 -7200 4000 10 7 70 0 -5 4 8 1 0 -1 -1 -1</v>
      </c>
      <c r="E46">
        <f t="shared" si="1"/>
        <v>26</v>
      </c>
    </row>
    <row r="47" spans="1:5" x14ac:dyDescent="0.3">
      <c r="A47">
        <f>LEN(Dados!A47)</f>
        <v>92</v>
      </c>
      <c r="B47" t="str">
        <f>MID(Dados!A47,SEARCH("=",Dados!A47)+2,(((SEARCH(" ",Dados!A47,SEARCH("=",Dados!A47)+2))-(SEARCH("=",Dados!A47)+2))))</f>
        <v>49</v>
      </c>
      <c r="C47" t="str">
        <f>MID(Dados!A47,SEARCH(" ",Dados!A47,8)+1,(SEARCH(" ",Dados!A47,12))-(SEARCH(" ",Dados!A47,8)+1))</f>
        <v>Claymore(S.C)</v>
      </c>
      <c r="D47" t="str">
        <f>RIGHT(Dados!A47,A47-SEARCH(C47,Dados!A47)-LEN(C47))</f>
        <v>1 9 1 1 1 5 3 11 1 1400 0 1 9 -600 4000 10 7 0 0 -5 4 8 1 0 -1 -1 -1</v>
      </c>
      <c r="E47">
        <f t="shared" si="1"/>
        <v>26</v>
      </c>
    </row>
    <row r="48" spans="1:5" x14ac:dyDescent="0.3">
      <c r="A48">
        <f>LEN(Dados!A48)</f>
        <v>91</v>
      </c>
      <c r="B48" t="str">
        <f>MID(Dados!A48,SEARCH("=",Dados!A48)+2,(((SEARCH(" ",Dados!A48,SEARCH("=",Dados!A48)+2))-(SEARCH("=",Dados!A48)+2))))</f>
        <v>50</v>
      </c>
      <c r="C48" t="str">
        <f>MID(Dados!A48,SEARCH(" ",Dados!A48,8)+1,(SEARCH(" ",Dados!A48,12))-(SEARCH(" ",Dados!A48,8)+1))</f>
        <v>GreatSword</v>
      </c>
      <c r="D48" t="str">
        <f>RIGHT(Dados!A48,A48-SEARCH(C48,Dados!A48)-LEN(C48))</f>
        <v xml:space="preserve">  1 9 1 1 2 1 2 12 1 1000 0 1 10 500 5200 11 8 0 0 -8 5 8 1 0 -1 -1 -1</v>
      </c>
      <c r="E48">
        <f t="shared" si="1"/>
        <v>28</v>
      </c>
    </row>
    <row r="49" spans="1:5" x14ac:dyDescent="0.3">
      <c r="A49">
        <f>LEN(Dados!A49)</f>
        <v>93</v>
      </c>
      <c r="B49" t="str">
        <f>MID(Dados!A49,SEARCH("=",Dados!A49)+2,(((SEARCH(" ",Dados!A49,SEARCH("=",Dados!A49)+2))-(SEARCH("=",Dados!A49)+2))))</f>
        <v>51</v>
      </c>
      <c r="C49" t="str">
        <f>MID(Dados!A49,SEARCH(" ",Dados!A49,8)+1,(SEARCH(" ",Dados!A49,12))-(SEARCH(" ",Dados!A49,8)+1))</f>
        <v>GreatSword+1</v>
      </c>
      <c r="D49" t="str">
        <f>RIGHT(Dados!A49,A49-SEARCH(C49,Dados!A49)-LEN(C49))</f>
        <v>1 9 1 1 2 2 3 12 2 1400 0 1 10 2300 5200 11 8 50 0 -8 5 8 1 0 -1 -1 -1</v>
      </c>
      <c r="E49">
        <f t="shared" si="1"/>
        <v>26</v>
      </c>
    </row>
    <row r="50" spans="1:5" x14ac:dyDescent="0.3">
      <c r="A50">
        <f>LEN(Dados!A50)</f>
        <v>94</v>
      </c>
      <c r="B50" t="str">
        <f>MID(Dados!A50,SEARCH("=",Dados!A50)+2,(((SEARCH(" ",Dados!A50,SEARCH("=",Dados!A50)+2))-(SEARCH("=",Dados!A50)+2))))</f>
        <v>52</v>
      </c>
      <c r="C50" t="str">
        <f>MID(Dados!A50,SEARCH(" ",Dados!A50,8)+1,(SEARCH(" ",Dados!A50,12))-(SEARCH(" ",Dados!A50,8)+1))</f>
        <v>GreatSword+2</v>
      </c>
      <c r="D50" t="str">
        <f>RIGHT(Dados!A50,A50-SEARCH(C50,Dados!A50)-LEN(C50))</f>
        <v>1 9 1 1 2 3 3 12 3 1400 0 1 10 -9200 5200 11 8 70 0 -8 5 8 1 0 -1 -1 -1</v>
      </c>
      <c r="E50">
        <f t="shared" si="1"/>
        <v>26</v>
      </c>
    </row>
    <row r="51" spans="1:5" x14ac:dyDescent="0.3">
      <c r="A51">
        <f>LEN(Dados!A51)</f>
        <v>96</v>
      </c>
      <c r="B51" t="str">
        <f>MID(Dados!A51,SEARCH("=",Dados!A51)+2,(((SEARCH(" ",Dados!A51,SEARCH("=",Dados!A51)+2))-(SEARCH("=",Dados!A51)+2))))</f>
        <v>53</v>
      </c>
      <c r="C51" t="str">
        <f>MID(Dados!A51,SEARCH(" ",Dados!A51,8)+1,(SEARCH(" ",Dados!A51,12))-(SEARCH(" ",Dados!A51,8)+1))</f>
        <v>GreatSword(S.C)</v>
      </c>
      <c r="D51" t="str">
        <f>RIGHT(Dados!A51,A51-SEARCH(C51,Dados!A51)-LEN(C51))</f>
        <v>1 9 1 3 11 1 3 12 1 1400 0 1 10 -700 5200 11 8 0 0 -8 5 8 1 0 -1 -1 -1</v>
      </c>
      <c r="E51">
        <f t="shared" si="1"/>
        <v>26</v>
      </c>
    </row>
    <row r="52" spans="1:5" x14ac:dyDescent="0.3">
      <c r="A52">
        <f>LEN(Dados!A52)</f>
        <v>92</v>
      </c>
      <c r="B52" t="str">
        <f>MID(Dados!A52,SEARCH("=",Dados!A52)+2,(((SEARCH(" ",Dados!A52,SEARCH("=",Dados!A52)+2))-(SEARCH("=",Dados!A52)+2))))</f>
        <v>54</v>
      </c>
      <c r="C52" t="str">
        <f>MID(Dados!A52,SEARCH(" ",Dados!A52,8)+1,(SEARCH(" ",Dados!A52,12))-(SEARCH(" ",Dados!A52,8)+1))</f>
        <v>Flameberge</v>
      </c>
      <c r="D52" t="str">
        <f>RIGHT(Dados!A52,A52-SEARCH(C52,Dados!A52)-LEN(C52))</f>
        <v>1 9 1 1 2 1 3 13 1 1000 0 1 11 700 6000 12 10 0 0 -15 10 8 1 0 -1 -1 -1</v>
      </c>
      <c r="E52">
        <f t="shared" si="1"/>
        <v>26</v>
      </c>
    </row>
    <row r="53" spans="1:5" x14ac:dyDescent="0.3">
      <c r="A53">
        <f>LEN(Dados!A53)</f>
        <v>96</v>
      </c>
      <c r="B53" t="str">
        <f>MID(Dados!A53,SEARCH("=",Dados!A53)+2,(((SEARCH(" ",Dados!A53,SEARCH("=",Dados!A53)+2))-(SEARCH("=",Dados!A53)+2))))</f>
        <v>55</v>
      </c>
      <c r="C53" t="str">
        <f>MID(Dados!A53,SEARCH(" ",Dados!A53,8)+1,(SEARCH(" ",Dados!A53,12))-(SEARCH(" ",Dados!A53,8)+1))</f>
        <v>Flameberge+1</v>
      </c>
      <c r="D53" t="str">
        <f>RIGHT(Dados!A53,A53-SEARCH(C53,Dados!A53)-LEN(C53))</f>
        <v>1 9 1 2 1 2 3 13 2 1400 0 1 11 3300 6000 12 10 60 0 -15 10 8 1 0 -1 -1 -1</v>
      </c>
      <c r="E53">
        <f t="shared" si="1"/>
        <v>26</v>
      </c>
    </row>
    <row r="54" spans="1:5" x14ac:dyDescent="0.3">
      <c r="A54">
        <f>LEN(Dados!A54)</f>
        <v>99</v>
      </c>
      <c r="B54" t="str">
        <f>MID(Dados!A54,SEARCH("=",Dados!A54)+2,(((SEARCH(" ",Dados!A54,SEARCH("=",Dados!A54)+2))-(SEARCH("=",Dados!A54)+2))))</f>
        <v>56</v>
      </c>
      <c r="C54" t="str">
        <f>MID(Dados!A54,SEARCH(" ",Dados!A54,8)+1,(SEARCH(" ",Dados!A54,12))-(SEARCH(" ",Dados!A54,8)+1))</f>
        <v>Flameberge+2</v>
      </c>
      <c r="D54" t="str">
        <f>RIGHT(Dados!A54,A54-SEARCH(C54,Dados!A54)-LEN(C54))</f>
        <v>1 9 1 3 12 3 3 13 3 1400 0 1 11 -13200 6000 12 10 70 0 -15 10 8 1 0 -1 -1 -1</v>
      </c>
      <c r="E54">
        <f t="shared" si="1"/>
        <v>26</v>
      </c>
    </row>
    <row r="55" spans="1:5" x14ac:dyDescent="0.3">
      <c r="A55">
        <f>LEN(Dados!A55)</f>
        <v>100</v>
      </c>
      <c r="B55" t="str">
        <f>MID(Dados!A55,SEARCH("=",Dados!A55)+2,(((SEARCH(" ",Dados!A55,SEARCH("=",Dados!A55)+2))-(SEARCH("=",Dados!A55)+2))))</f>
        <v>57</v>
      </c>
      <c r="C55" t="str">
        <f>MID(Dados!A55,SEARCH(" ",Dados!A55,8)+1,(SEARCH(" ",Dados!A55,12))-(SEARCH(" ",Dados!A55,8)+1))</f>
        <v>Flameberge(S.C)</v>
      </c>
      <c r="D55" t="str">
        <f>RIGHT(Dados!A55,A55-SEARCH(C55,Dados!A55)-LEN(C55))</f>
        <v>1 9 1 3 12 1 3 13 1 1400 0 1 11 -1000 6000 12 10 0 0 -15 10 8 1 0 -1 -1 -1</v>
      </c>
      <c r="E55">
        <f t="shared" si="1"/>
        <v>26</v>
      </c>
    </row>
    <row r="56" spans="1:5" x14ac:dyDescent="0.3">
      <c r="A56">
        <f>LEN(Dados!A56)</f>
        <v>85</v>
      </c>
      <c r="B56" t="str">
        <f>MID(Dados!A56,SEARCH("=",Dados!A56)+2,(((SEARCH(" ",Dados!A56,SEARCH("=",Dados!A56)+2))-(SEARCH("=",Dados!A56)+2))))</f>
        <v>59</v>
      </c>
      <c r="C56" t="str">
        <f>MID(Dados!A56,SEARCH(" ",Dados!A56,8)+1,(SEARCH(" ",Dados!A56,12))-(SEARCH(" ",Dados!A56,8)+1))</f>
        <v>LightAxe</v>
      </c>
      <c r="D56" t="str">
        <f>RIGHT(Dados!A56,A56-SEARCH(C56,Dados!A56)-LEN(C56))</f>
        <v>1 8 1 2 7 1 2 8 1 500 0 15 2 100 1400 22 3 0 0 0 0 10 1 0 -1 -1 -1</v>
      </c>
      <c r="E56">
        <f t="shared" si="1"/>
        <v>26</v>
      </c>
    </row>
    <row r="57" spans="1:5" x14ac:dyDescent="0.3">
      <c r="A57">
        <f>LEN(Dados!A57)</f>
        <v>88</v>
      </c>
      <c r="B57" t="str">
        <f>MID(Dados!A57,SEARCH("=",Dados!A57)+2,(((SEARCH(" ",Dados!A57,SEARCH("=",Dados!A57)+2))-(SEARCH("=",Dados!A57)+2))))</f>
        <v>60</v>
      </c>
      <c r="C57" t="str">
        <f>MID(Dados!A57,SEARCH(" ",Dados!A57,8)+1,(SEARCH(" ",Dados!A57,12))-(SEARCH(" ",Dados!A57,8)+1))</f>
        <v>LightAxe+1</v>
      </c>
      <c r="D57" t="str">
        <f>RIGHT(Dados!A57,A57-SEARCH(C57,Dados!A57)-LEN(C57))</f>
        <v>1 8 1 2 7 2 2 8 2 500 0 15 2 350 1400 22 3 10 0 0 0 10 1 0 -1 -1 -1</v>
      </c>
      <c r="E57">
        <f t="shared" si="1"/>
        <v>26</v>
      </c>
    </row>
    <row r="58" spans="1:5" x14ac:dyDescent="0.3">
      <c r="A58">
        <f>LEN(Dados!A58)</f>
        <v>90</v>
      </c>
      <c r="B58" t="str">
        <f>MID(Dados!A58,SEARCH("=",Dados!A58)+2,(((SEARCH(" ",Dados!A58,SEARCH("=",Dados!A58)+2))-(SEARCH("=",Dados!A58)+2))))</f>
        <v>61</v>
      </c>
      <c r="C58" t="str">
        <f>MID(Dados!A58,SEARCH(" ",Dados!A58,8)+1,(SEARCH(" ",Dados!A58,12))-(SEARCH(" ",Dados!A58,8)+1))</f>
        <v>LightAxe+2</v>
      </c>
      <c r="D58" t="str">
        <f>RIGHT(Dados!A58,A58-SEARCH(C58,Dados!A58)-LEN(C58))</f>
        <v>1 8 1 2 7 3 2 8 3 500 0 15 2 -1400 1400 22 3 70 0 0 0 10 1 0 -1 -1 -1</v>
      </c>
      <c r="E58">
        <f t="shared" si="1"/>
        <v>26</v>
      </c>
    </row>
    <row r="59" spans="1:5" x14ac:dyDescent="0.3">
      <c r="A59">
        <f>LEN(Dados!A59)</f>
        <v>84</v>
      </c>
      <c r="B59" t="str">
        <f>MID(Dados!A59,SEARCH("=",Dados!A59)+2,(((SEARCH(" ",Dados!A59,SEARCH("=",Dados!A59)+2))-(SEARCH("=",Dados!A59)+2))))</f>
        <v>62</v>
      </c>
      <c r="C59" t="str">
        <f>MID(Dados!A59,SEARCH(" ",Dados!A59,8)+1,(SEARCH(" ",Dados!A59,12))-(SEARCH(" ",Dados!A59,8)+1))</f>
        <v>Tomahoc</v>
      </c>
      <c r="D59" t="str">
        <f>RIGHT(Dados!A59,A59-SEARCH(C59,Dados!A59)-LEN(C59))</f>
        <v>1 8 1 3 4 1 3 5 1 500 0 15 2 180 1700 22 4 0 0 0 0 10 1 0 -1 -1 -1</v>
      </c>
      <c r="E59">
        <f t="shared" si="1"/>
        <v>26</v>
      </c>
    </row>
    <row r="60" spans="1:5" x14ac:dyDescent="0.3">
      <c r="A60">
        <f>LEN(Dados!A60)</f>
        <v>87</v>
      </c>
      <c r="B60" t="str">
        <f>MID(Dados!A60,SEARCH("=",Dados!A60)+2,(((SEARCH(" ",Dados!A60,SEARCH("=",Dados!A60)+2))-(SEARCH("=",Dados!A60)+2))))</f>
        <v>63</v>
      </c>
      <c r="C60" t="str">
        <f>MID(Dados!A60,SEARCH(" ",Dados!A60,8)+1,(SEARCH(" ",Dados!A60,12))-(SEARCH(" ",Dados!A60,8)+1))</f>
        <v>Tomahoc+1</v>
      </c>
      <c r="D60" t="str">
        <f>RIGHT(Dados!A60,A60-SEARCH(C60,Dados!A60)-LEN(C60))</f>
        <v>1 8 1 3 4 2 3 5 2 500 0 15 2 700 1700 22 4 20 0 0 0 10 1 0 -1 -1 -1</v>
      </c>
      <c r="E60">
        <f t="shared" si="1"/>
        <v>26</v>
      </c>
    </row>
    <row r="61" spans="1:5" x14ac:dyDescent="0.3">
      <c r="A61">
        <f>LEN(Dados!A61)</f>
        <v>89</v>
      </c>
      <c r="B61" t="str">
        <f>MID(Dados!A61,SEARCH("=",Dados!A61)+2,(((SEARCH(" ",Dados!A61,SEARCH("=",Dados!A61)+2))-(SEARCH("=",Dados!A61)+2))))</f>
        <v>64</v>
      </c>
      <c r="C61" t="str">
        <f>MID(Dados!A61,SEARCH(" ",Dados!A61,8)+1,(SEARCH(" ",Dados!A61,12))-(SEARCH(" ",Dados!A61,8)+1))</f>
        <v>Tomahoc+2</v>
      </c>
      <c r="D61" t="str">
        <f>RIGHT(Dados!A61,A61-SEARCH(C61,Dados!A61)-LEN(C61))</f>
        <v>1 8 1 3 4 3 3 5 3 500 0 15 2 -2800 1700 22 4 70 0 0 0 10 1 0 -1 -1 -1</v>
      </c>
      <c r="E61">
        <f t="shared" si="1"/>
        <v>26</v>
      </c>
    </row>
    <row r="62" spans="1:5" x14ac:dyDescent="0.3">
      <c r="A62">
        <f>LEN(Dados!A62)</f>
        <v>85</v>
      </c>
      <c r="B62" t="str">
        <f>MID(Dados!A62,SEARCH("=",Dados!A62)+2,(((SEARCH(" ",Dados!A62,SEARCH("=",Dados!A62)+2))-(SEARCH("=",Dados!A62)+2))))</f>
        <v>65</v>
      </c>
      <c r="C62" t="str">
        <f>MID(Dados!A62,SEARCH(" ",Dados!A62,8)+1,(SEARCH(" ",Dados!A62,12))-(SEARCH(" ",Dados!A62,8)+1))</f>
        <v>SexonAxe</v>
      </c>
      <c r="D62" t="str">
        <f>RIGHT(Dados!A62,A62-SEARCH(C62,Dados!A62)-LEN(C62))</f>
        <v>1 8 1 3 5 1 3 6 1 700 0 15 3 200 2000 23 4 0 0 0 0 10 1 0 -1 -1 -1</v>
      </c>
      <c r="E62">
        <f t="shared" si="1"/>
        <v>26</v>
      </c>
    </row>
    <row r="63" spans="1:5" x14ac:dyDescent="0.3">
      <c r="A63">
        <f>LEN(Dados!A63)</f>
        <v>88</v>
      </c>
      <c r="B63" t="str">
        <f>MID(Dados!A63,SEARCH("=",Dados!A63)+2,(((SEARCH(" ",Dados!A63,SEARCH("=",Dados!A63)+2))-(SEARCH("=",Dados!A63)+2))))</f>
        <v>66</v>
      </c>
      <c r="C63" t="str">
        <f>MID(Dados!A63,SEARCH(" ",Dados!A63,8)+1,(SEARCH(" ",Dados!A63,12))-(SEARCH(" ",Dados!A63,8)+1))</f>
        <v>SexonAxe+1</v>
      </c>
      <c r="D63" t="str">
        <f>RIGHT(Dados!A63,A63-SEARCH(C63,Dados!A63)-LEN(C63))</f>
        <v>1 8 1 3 5 2 3 6 2 700 0 15 3 800 2000 23 4 30 0 0 0 10 1 0 -1 -1 -1</v>
      </c>
      <c r="E63">
        <f t="shared" si="1"/>
        <v>26</v>
      </c>
    </row>
    <row r="64" spans="1:5" x14ac:dyDescent="0.3">
      <c r="A64">
        <f>LEN(Dados!A64)</f>
        <v>90</v>
      </c>
      <c r="B64" t="str">
        <f>MID(Dados!A64,SEARCH("=",Dados!A64)+2,(((SEARCH(" ",Dados!A64,SEARCH("=",Dados!A64)+2))-(SEARCH("=",Dados!A64)+2))))</f>
        <v>67</v>
      </c>
      <c r="C64" t="str">
        <f>MID(Dados!A64,SEARCH(" ",Dados!A64,8)+1,(SEARCH(" ",Dados!A64,12))-(SEARCH(" ",Dados!A64,8)+1))</f>
        <v>SexonAxe+2</v>
      </c>
      <c r="D64" t="str">
        <f>RIGHT(Dados!A64,A64-SEARCH(C64,Dados!A64)-LEN(C64))</f>
        <v>1 8 1 3 5 3 3 6 3 700 0 15 3 -3200 2000 23 4 70 0 0 0 10 1 0 -1 -1 -1</v>
      </c>
      <c r="E64">
        <f t="shared" si="1"/>
        <v>26</v>
      </c>
    </row>
    <row r="65" spans="1:5" x14ac:dyDescent="0.3">
      <c r="A65">
        <f>LEN(Dados!A65)</f>
        <v>86</v>
      </c>
      <c r="B65" t="str">
        <f>MID(Dados!A65,SEARCH("=",Dados!A65)+2,(((SEARCH(" ",Dados!A65,SEARCH("=",Dados!A65)+2))-(SEARCH("=",Dados!A65)+2))))</f>
        <v>68</v>
      </c>
      <c r="C65" t="str">
        <f>MID(Dados!A65,SEARCH(" ",Dados!A65,8)+1,(SEARCH(" ",Dados!A65,12))-(SEARCH(" ",Dados!A65,8)+1))</f>
        <v>DoubleAxe</v>
      </c>
      <c r="D65" t="str">
        <f>RIGHT(Dados!A65,A65-SEARCH(C65,Dados!A65)-LEN(C65))</f>
        <v>1 8 1 4 4 1 4 4 1 800 0 15 0 560 3300 20 5 0 0 0 0 10 1 0 -1 -1 -1</v>
      </c>
      <c r="E65">
        <f t="shared" si="1"/>
        <v>26</v>
      </c>
    </row>
    <row r="66" spans="1:5" x14ac:dyDescent="0.3">
      <c r="A66">
        <f>LEN(Dados!A66)</f>
        <v>90</v>
      </c>
      <c r="B66" t="str">
        <f>MID(Dados!A66,SEARCH("=",Dados!A66)+2,(((SEARCH(" ",Dados!A66,SEARCH("=",Dados!A66)+2))-(SEARCH("=",Dados!A66)+2))))</f>
        <v>69</v>
      </c>
      <c r="C66" t="str">
        <f>MID(Dados!A66,SEARCH(" ",Dados!A66,8)+1,(SEARCH(" ",Dados!A66,12))-(SEARCH(" ",Dados!A66,8)+1))</f>
        <v>DoubleAxe+1</v>
      </c>
      <c r="D66" t="str">
        <f>RIGHT(Dados!A66,A66-SEARCH(C66,Dados!A66)-LEN(C66))</f>
        <v>1 8 1 4 4 2 4 4 2 800 0 15 0 1200 3300 20 5 40 0 0 0 10 1 0 -1 -1 -1</v>
      </c>
      <c r="E66">
        <f t="shared" si="1"/>
        <v>26</v>
      </c>
    </row>
    <row r="67" spans="1:5" x14ac:dyDescent="0.3">
      <c r="A67">
        <f>LEN(Dados!A67)</f>
        <v>91</v>
      </c>
      <c r="B67" t="str">
        <f>MID(Dados!A67,SEARCH("=",Dados!A67)+2,(((SEARCH(" ",Dados!A67,SEARCH("=",Dados!A67)+2))-(SEARCH("=",Dados!A67)+2))))</f>
        <v>70</v>
      </c>
      <c r="C67" t="str">
        <f>MID(Dados!A67,SEARCH(" ",Dados!A67,8)+1,(SEARCH(" ",Dados!A67,12))-(SEARCH(" ",Dados!A67,8)+1))</f>
        <v>DoubleAxe+2</v>
      </c>
      <c r="D67" t="str">
        <f>RIGHT(Dados!A67,A67-SEARCH(C67,Dados!A67)-LEN(C67))</f>
        <v>1 8 1 4 4 3 4 4 3 800 0 15 0 -4800 3300 20 5 70 0 0 0 10 1 0 -1 -1 -1</v>
      </c>
      <c r="E67">
        <f t="shared" ref="E67:E130" si="2">LEN(D67)-LEN(SUBSTITUTE(D67," ",""))</f>
        <v>26</v>
      </c>
    </row>
    <row r="68" spans="1:5" x14ac:dyDescent="0.3">
      <c r="A68">
        <f>LEN(Dados!A68)</f>
        <v>86</v>
      </c>
      <c r="B68" t="str">
        <f>MID(Dados!A68,SEARCH("=",Dados!A68)+2,(((SEARCH(" ",Dados!A68,SEARCH("=",Dados!A68)+2))-(SEARCH("=",Dados!A68)+2))))</f>
        <v>71</v>
      </c>
      <c r="C68" t="str">
        <f>MID(Dados!A68,SEARCH(" ",Dados!A68,8)+1,(SEARCH(" ",Dados!A68,12))-(SEARCH(" ",Dados!A68,8)+1))</f>
        <v>WarAxe</v>
      </c>
      <c r="D68" t="str">
        <f>RIGHT(Dados!A68,A68-SEARCH(C68,Dados!A68)-LEN(C68))</f>
        <v xml:space="preserve">  1 8 1 2 1 1 4 7 1 1000 0 15 1 700 4400 21 8 0 0 0 0 10 1 0 -1 -1 -1</v>
      </c>
      <c r="E68">
        <f t="shared" si="2"/>
        <v>28</v>
      </c>
    </row>
    <row r="69" spans="1:5" x14ac:dyDescent="0.3">
      <c r="A69">
        <f>LEN(Dados!A69)</f>
        <v>88</v>
      </c>
      <c r="B69" t="str">
        <f>MID(Dados!A69,SEARCH("=",Dados!A69)+2,(((SEARCH(" ",Dados!A69,SEARCH("=",Dados!A69)+2))-(SEARCH("=",Dados!A69)+2))))</f>
        <v>72</v>
      </c>
      <c r="C69" t="str">
        <f>MID(Dados!A69,SEARCH(" ",Dados!A69,8)+1,(SEARCH(" ",Dados!A69,12))-(SEARCH(" ",Dados!A69,8)+1))</f>
        <v>WarAxe+1</v>
      </c>
      <c r="D69" t="str">
        <f>RIGHT(Dados!A69,A69-SEARCH(C69,Dados!A69)-LEN(C69))</f>
        <v>1 8 1 2 1 2 4 7 2 1000 0 15 1 2000 4400 21 8 60 0 0 0 10 1 0 -1 -1 -1</v>
      </c>
      <c r="E69">
        <f t="shared" si="2"/>
        <v>26</v>
      </c>
    </row>
    <row r="70" spans="1:5" x14ac:dyDescent="0.3">
      <c r="A70">
        <f>LEN(Dados!A70)</f>
        <v>89</v>
      </c>
      <c r="B70" t="str">
        <f>MID(Dados!A70,SEARCH("=",Dados!A70)+2,(((SEARCH(" ",Dados!A70,SEARCH("=",Dados!A70)+2))-(SEARCH("=",Dados!A70)+2))))</f>
        <v>73</v>
      </c>
      <c r="C70" t="str">
        <f>MID(Dados!A70,SEARCH(" ",Dados!A70,8)+1,(SEARCH(" ",Dados!A70,12))-(SEARCH(" ",Dados!A70,8)+1))</f>
        <v>WarAxe+2</v>
      </c>
      <c r="D70" t="str">
        <f>RIGHT(Dados!A70,A70-SEARCH(C70,Dados!A70)-LEN(C70))</f>
        <v>1 8 1 2 1 3 4 7 3 1000 0 15 1 -8000 4400 21 8 70 0 0 0 10 1 0 -1 -1 -1</v>
      </c>
      <c r="E70">
        <f t="shared" si="2"/>
        <v>26</v>
      </c>
    </row>
    <row r="71" spans="1:5" x14ac:dyDescent="0.3">
      <c r="A71">
        <f>LEN(Dados!A71)</f>
        <v>97</v>
      </c>
      <c r="B71" t="str">
        <f>MID(Dados!A71,SEARCH("=",Dados!A71)+2,(((SEARCH(" ",Dados!A71,SEARCH("=",Dados!A71)+2))-(SEARCH("=",Dados!A71)+2))))</f>
        <v>74</v>
      </c>
      <c r="C71" t="str">
        <f>MID(Dados!A71,SEARCH(" ",Dados!A71,8)+1,(SEARCH(" ",Dados!A71,12))-(SEARCH(" ",Dados!A71,8)+1))</f>
        <v>4BladeGoldenAxe</v>
      </c>
      <c r="D71" t="str">
        <f>RIGHT(Dados!A71,A71-SEARCH(C71,Dados!A71)-LEN(C71))</f>
        <v>1 8 1 4 7 1 4 7 1 2000 0 15 4 -52000 2000 24 6 60 0 0 0 10 1 0 -1 -1 -1</v>
      </c>
      <c r="E71">
        <f t="shared" si="2"/>
        <v>26</v>
      </c>
    </row>
    <row r="72" spans="1:5" x14ac:dyDescent="0.3">
      <c r="A72">
        <f>LEN(Dados!A72)</f>
        <v>82</v>
      </c>
      <c r="B72" t="str">
        <f>MID(Dados!A72,SEARCH("=",Dados!A72)+2,(((SEARCH(" ",Dados!A72,SEARCH("=",Dados!A72)+2))-(SEARCH("=",Dados!A72)+2))))</f>
        <v>75</v>
      </c>
      <c r="C72" t="str">
        <f>MID(Dados!A72,SEARCH(" ",Dados!A72,8)+1,(SEARCH(" ",Dados!A72,12))-(SEARCH(" ",Dados!A72,8)+1))</f>
        <v>ShortBow</v>
      </c>
      <c r="D72" t="str">
        <f>RIGHT(Dados!A72,A72-SEARCH(C72,Dados!A72)-LEN(C72))</f>
        <v>1 9 3 2 7 1 2 7 1 500 0 2 0 100 800 40 4 0 0 5 0 6 3 0 -1 -1 -1</v>
      </c>
      <c r="E72">
        <f t="shared" si="2"/>
        <v>26</v>
      </c>
    </row>
    <row r="73" spans="1:5" x14ac:dyDescent="0.3">
      <c r="A73">
        <f>LEN(Dados!A73)</f>
        <v>82</v>
      </c>
      <c r="B73" t="str">
        <f>MID(Dados!A73,SEARCH("=",Dados!A73)+2,(((SEARCH(" ",Dados!A73,SEARCH("=",Dados!A73)+2))-(SEARCH("=",Dados!A73)+2))))</f>
        <v>76</v>
      </c>
      <c r="C73" t="str">
        <f>MID(Dados!A73,SEARCH(" ",Dados!A73,8)+1,(SEARCH(" ",Dados!A73,12))-(SEARCH(" ",Dados!A73,8)+1))</f>
        <v>LongBow</v>
      </c>
      <c r="D73" t="str">
        <f>RIGHT(Dados!A73,A73-SEARCH(C73,Dados!A73)-LEN(C73))</f>
        <v>1 9 3 2 8 1 2 8 1 800 0 2 1 200 1200 41 5 0 0 0 5 6 3 0 -1 -1 -1</v>
      </c>
      <c r="E73">
        <f t="shared" si="2"/>
        <v>26</v>
      </c>
    </row>
    <row r="74" spans="1:5" x14ac:dyDescent="0.3">
      <c r="A74">
        <f>LEN(Dados!A74)</f>
        <v>74</v>
      </c>
      <c r="B74" t="str">
        <f>MID(Dados!A74,SEARCH("=",Dados!A74)+2,(((SEARCH(" ",Dados!A74,SEARCH("=",Dados!A74)+2))-(SEARCH("=",Dados!A74)+2))))</f>
        <v>77</v>
      </c>
      <c r="C74" t="str">
        <f>MID(Dados!A74,SEARCH(" ",Dados!A74,8)+1,(SEARCH(" ",Dados!A74,12))-(SEARCH(" ",Dados!A74,8)+1))</f>
        <v>Arrow</v>
      </c>
      <c r="D74" t="str">
        <f>RIGHT(Dados!A74,A74-SEARCH(C74,Dados!A74)-LEN(C74))</f>
        <v>6 0 0 1 4 0 1 4 0 1 0 6 10 1 10 1 3 0 0 0 0 0 4 0 -1 -1 -1</v>
      </c>
      <c r="E74">
        <f t="shared" si="2"/>
        <v>26</v>
      </c>
    </row>
    <row r="75" spans="1:5" x14ac:dyDescent="0.3">
      <c r="A75">
        <f>LEN(Dados!A75)</f>
        <v>81</v>
      </c>
      <c r="B75" t="str">
        <f>MID(Dados!A75,SEARCH("=",Dados!A75)+2,(((SEARCH(" ",Dados!A75,SEARCH("=",Dados!A75)+2))-(SEARCH("=",Dados!A75)+2))))</f>
        <v>78</v>
      </c>
      <c r="C75" t="str">
        <f>MID(Dados!A75,SEARCH(" ",Dados!A75,8)+1,(SEARCH(" ",Dados!A75,12))-(SEARCH(" ",Dados!A75,8)+1))</f>
        <v>PoisonArrow</v>
      </c>
      <c r="D75" t="str">
        <f>RIGHT(Dados!A75,A75-SEARCH(C75,Dados!A75)-LEN(C75))</f>
        <v>6 0 0 1 8 0 1 8 0 1 0 6 10 -5 10 1 5 0 0 0 0 0 4 0 -1 -1 -1</v>
      </c>
      <c r="E75">
        <f t="shared" si="2"/>
        <v>26</v>
      </c>
    </row>
    <row r="76" spans="1:5" x14ac:dyDescent="0.3">
      <c r="A76">
        <f>LEN(Dados!A76)</f>
        <v>84</v>
      </c>
      <c r="B76" t="str">
        <f>MID(Dados!A76,SEARCH("=",Dados!A76)+2,(((SEARCH(" ",Dados!A76,SEARCH("=",Dados!A76)+2))-(SEARCH("=",Dados!A76)+2))))</f>
        <v>79</v>
      </c>
      <c r="C76" t="str">
        <f>MID(Dados!A76,SEARCH(" ",Dados!A76,8)+1,(SEARCH(" ",Dados!A76,12))-(SEARCH(" ",Dados!A76,8)+1))</f>
        <v>WoodShield</v>
      </c>
      <c r="D76" t="str">
        <f>RIGHT(Dados!A76,A76-SEARCH(C76,Dados!A76)-LEN(C76))</f>
        <v>1 7 2 8 1 1 1 1 1 300 0 3 0 100 800 1 0 0 0 0 0 11 5 0 -1 -1 -1</v>
      </c>
      <c r="E76">
        <f t="shared" si="2"/>
        <v>26</v>
      </c>
    </row>
    <row r="77" spans="1:5" x14ac:dyDescent="0.3">
      <c r="A77">
        <f>LEN(Dados!A77)</f>
        <v>89</v>
      </c>
      <c r="B77" t="str">
        <f>MID(Dados!A77,SEARCH("=",Dados!A77)+2,(((SEARCH(" ",Dados!A77,SEARCH("=",Dados!A77)+2))-(SEARCH("=",Dados!A77)+2))))</f>
        <v>80</v>
      </c>
      <c r="C77" t="str">
        <f>MID(Dados!A77,SEARCH(" ",Dados!A77,8)+1,(SEARCH(" ",Dados!A77,12))-(SEARCH(" ",Dados!A77,8)+1))</f>
        <v>LeatherShield</v>
      </c>
      <c r="D77" t="str">
        <f>RIGHT(Dados!A77,A77-SEARCH(C77,Dados!A77)-LEN(C77))</f>
        <v>1 7 2 10 1 1 1 1 1 300 0 3 1 150 1000 2 0 0 0 0 0 11 5 0 -1 -1 -1</v>
      </c>
      <c r="E77">
        <f t="shared" si="2"/>
        <v>26</v>
      </c>
    </row>
    <row r="78" spans="1:5" x14ac:dyDescent="0.3">
      <c r="A78">
        <f>LEN(Dados!A78)</f>
        <v>87</v>
      </c>
      <c r="B78" t="str">
        <f>MID(Dados!A78,SEARCH("=",Dados!A78)+2,(((SEARCH(" ",Dados!A78,SEARCH("=",Dados!A78)+2))-(SEARCH("=",Dados!A78)+2))))</f>
        <v>81</v>
      </c>
      <c r="C78" t="str">
        <f>MID(Dados!A78,SEARCH(" ",Dados!A78,8)+1,(SEARCH(" ",Dados!A78,12))-(SEARCH(" ",Dados!A78,8)+1))</f>
        <v>TargeShield</v>
      </c>
      <c r="D78" t="str">
        <f>RIGHT(Dados!A78,A78-SEARCH(C78,Dados!A78)-LEN(C78))</f>
        <v>1 7 2 13 1 1 1 1 1 500 0 3 2 250 1800 3 0 0 0 0 0 11 5 0 -1 -1 -1</v>
      </c>
      <c r="E78">
        <f t="shared" si="2"/>
        <v>26</v>
      </c>
    </row>
    <row r="79" spans="1:5" x14ac:dyDescent="0.3">
      <c r="A79">
        <f>LEN(Dados!A79)</f>
        <v>90</v>
      </c>
      <c r="B79" t="str">
        <f>MID(Dados!A79,SEARCH("=",Dados!A79)+2,(((SEARCH(" ",Dados!A79,SEARCH("=",Dados!A79)+2))-(SEARCH("=",Dados!A79)+2))))</f>
        <v>82</v>
      </c>
      <c r="C79" t="str">
        <f>MID(Dados!A79,SEARCH(" ",Dados!A79,8)+1,(SEARCH(" ",Dados!A79,12))-(SEARCH(" ",Dados!A79,8)+1))</f>
        <v>ScootermShield</v>
      </c>
      <c r="D79" t="str">
        <f>RIGHT(Dados!A79,A79-SEARCH(C79,Dados!A79)-LEN(C79))</f>
        <v>1 7 2 16 1 1 1 1 1 500 0 3 3 300 2000 4 0 0 0 0 0 11 5 0 -1 -1 -1</v>
      </c>
      <c r="E79">
        <f t="shared" si="2"/>
        <v>26</v>
      </c>
    </row>
    <row r="80" spans="1:5" x14ac:dyDescent="0.3">
      <c r="A80">
        <f>LEN(Dados!A80)</f>
        <v>88</v>
      </c>
      <c r="B80" t="str">
        <f>MID(Dados!A80,SEARCH("=",Dados!A80)+2,(((SEARCH(" ",Dados!A80,SEARCH("=",Dados!A80)+2))-(SEARCH("=",Dados!A80)+2))))</f>
        <v>83</v>
      </c>
      <c r="C80" t="str">
        <f>MID(Dados!A80,SEARCH(" ",Dados!A80,8)+1,(SEARCH(" ",Dados!A80,12))-(SEARCH(" ",Dados!A80,8)+1))</f>
        <v>BlondeShield</v>
      </c>
      <c r="D80" t="str">
        <f>RIGHT(Dados!A80,A80-SEARCH(C80,Dados!A80)-LEN(C80))</f>
        <v>1 7 2 18 1 1 1 1 1 500 0 3 4 450 2000 5 0 0 0 0 0 11 5 0 -1 -1 -1</v>
      </c>
      <c r="E80">
        <f t="shared" si="2"/>
        <v>26</v>
      </c>
    </row>
    <row r="81" spans="1:8" x14ac:dyDescent="0.3">
      <c r="A81">
        <f>LEN(Dados!A81)</f>
        <v>87</v>
      </c>
      <c r="B81" t="str">
        <f>MID(Dados!A81,SEARCH("=",Dados!A81)+2,(((SEARCH(" ",Dados!A81,SEARCH("=",Dados!A81)+2))-(SEARCH("=",Dados!A81)+2))))</f>
        <v>84</v>
      </c>
      <c r="C81" t="str">
        <f>MID(Dados!A81,SEARCH(" ",Dados!A81,8)+1,(SEARCH(" ",Dados!A81,12))-(SEARCH(" ",Dados!A81,8)+1))</f>
        <v>IronShield</v>
      </c>
      <c r="D81" t="str">
        <f>RIGHT(Dados!A81,A81-SEARCH(C81,Dados!A81)-LEN(C81))</f>
        <v>1 7 2 22 1 1 1 1 1 500 0 3 5 700 2500 6 0 0 0 -2 0 11 5 0 -1 -1 -1</v>
      </c>
      <c r="E81">
        <f t="shared" si="2"/>
        <v>26</v>
      </c>
    </row>
    <row r="82" spans="1:8" x14ac:dyDescent="0.3">
      <c r="A82">
        <f>LEN(Dados!A82)</f>
        <v>88</v>
      </c>
      <c r="B82" t="str">
        <f>MID(Dados!A82,SEARCH("=",Dados!A82)+2,(((SEARCH(" ",Dados!A82,SEARCH("=",Dados!A82)+2))-(SEARCH("=",Dados!A82)+2))))</f>
        <v>85</v>
      </c>
      <c r="C82" t="str">
        <f>MID(Dados!A82,SEARCH(" ",Dados!A82,8)+1,(SEARCH(" ",Dados!A82,12))-(SEARCH(" ",Dados!A82,8)+1))</f>
        <v>LagiShield</v>
      </c>
      <c r="D82" t="str">
        <f>RIGHT(Dados!A82,A82-SEARCH(C82,Dados!A82)-LEN(C82))</f>
        <v>1 7 2 26 1 1 1 1 1 800 0 3 6 1300 3000 7 0 0 0 -4 0 11 5 0 -1 -1 -1</v>
      </c>
      <c r="E82">
        <f t="shared" si="2"/>
        <v>26</v>
      </c>
    </row>
    <row r="83" spans="1:8" x14ac:dyDescent="0.3">
      <c r="A83">
        <f>LEN(Dados!A83)</f>
        <v>91</v>
      </c>
      <c r="B83" t="str">
        <f>MID(Dados!A83,SEARCH("=",Dados!A83)+2,(((SEARCH(" ",Dados!A83,SEARCH("=",Dados!A83)+2))-(SEARCH("=",Dados!A83)+2))))</f>
        <v>86</v>
      </c>
      <c r="C83" t="str">
        <f>MID(Dados!A83,SEARCH(" ",Dados!A83,8)+1,(SEARCH(" ",Dados!A83,12))-(SEARCH(" ",Dados!A83,8)+1))</f>
        <v>KnightShield</v>
      </c>
      <c r="D83" t="str">
        <f>RIGHT(Dados!A83,A83-SEARCH(C83,Dados!A83)-LEN(C83))</f>
        <v>1 7 2 30 1 1 1 1 1 800 0 3 7 1500 3200 8 0 0 0 -8 -5 11 5 0 -1 -1 -1</v>
      </c>
      <c r="E83">
        <f t="shared" si="2"/>
        <v>26</v>
      </c>
    </row>
    <row r="84" spans="1:8" x14ac:dyDescent="0.3">
      <c r="A84">
        <f>LEN(Dados!A84)</f>
        <v>92</v>
      </c>
      <c r="B84" t="str">
        <f>MID(Dados!A84,SEARCH("=",Dados!A84)+2,(((SEARCH(" ",Dados!A84,SEARCH("=",Dados!A84)+2))-(SEARCH("=",Dados!A84)+2))))</f>
        <v>87</v>
      </c>
      <c r="C84" t="str">
        <f>MID(Dados!A84,SEARCH(" ",Dados!A84,8)+1,(SEARCH(" ",Dados!A84,12))-(SEARCH(" ",Dados!A84,8)+1))</f>
        <v>TowerShield</v>
      </c>
      <c r="D84" t="str">
        <f>RIGHT(Dados!A84,A84-SEARCH(C84,Dados!A84)-LEN(C84))</f>
        <v>1 7 2 35 1 1 1 1 1 800 0 3 8 1800 4000 9 0 0 0 -10 -10 11 5 0 -1 -1 -1</v>
      </c>
      <c r="E84">
        <f t="shared" si="2"/>
        <v>26</v>
      </c>
    </row>
    <row r="85" spans="1:8" x14ac:dyDescent="0.3">
      <c r="A85">
        <f>LEN(Dados!A85)</f>
        <v>90</v>
      </c>
      <c r="B85" t="str">
        <f>MID(Dados!A85,SEARCH("=",Dados!A85)+2,(((SEARCH(" ",Dados!A85,SEARCH("=",Dados!A85)+2))-(SEARCH("=",Dados!A85)+2))))</f>
        <v>88</v>
      </c>
      <c r="C85" t="str">
        <f>MID(Dados!A85,SEARCH(" ",Dados!A85,8)+1,(SEARCH(" ",Dados!A85,12))-(SEARCH(" ",Dados!A85,8)+1))</f>
        <v>GuildAdmissionTicket</v>
      </c>
      <c r="D85" t="str">
        <f>RIGHT(Dados!A85,A85-SEARCH(C85,Dados!A85)-LEN(C85))</f>
        <v>0 0 0 0 0 0 0 0 0 0 0 6 9 5 1 -1 0 0 0 0 0 -1 42 0 -1 -1 -1</v>
      </c>
      <c r="E85">
        <f t="shared" si="2"/>
        <v>26</v>
      </c>
    </row>
    <row r="86" spans="1:8" x14ac:dyDescent="0.3">
      <c r="A86">
        <f>LEN(Dados!A86)</f>
        <v>90</v>
      </c>
      <c r="B86" t="str">
        <f>MID(Dados!A86,SEARCH("=",Dados!A86)+2,(((SEARCH(" ",Dados!A86,SEARCH("=",Dados!A86)+2))-(SEARCH("=",Dados!A86)+2))))</f>
        <v>89</v>
      </c>
      <c r="C86" t="str">
        <f>MID(Dados!A86,SEARCH(" ",Dados!A86,8)+1,(SEARCH(" ",Dados!A86,12))-(SEARCH(" ",Dados!A86,8)+1))</f>
        <v>GuildSecessionTicket</v>
      </c>
      <c r="D86" t="str">
        <f>RIGHT(Dados!A86,A86-SEARCH(C86,Dados!A86)-LEN(C86))</f>
        <v>0 0 0 0 0 0 0 0 0 0 0 6 9 5 1 -1 0 0 0 0 0 -1 42 0 -1 -1 -1</v>
      </c>
      <c r="E86">
        <f t="shared" si="2"/>
        <v>26</v>
      </c>
    </row>
    <row r="87" spans="1:8" x14ac:dyDescent="0.3">
      <c r="A87">
        <f>LEN(Dados!A87)</f>
        <v>74</v>
      </c>
      <c r="B87" t="str">
        <f>MID(Dados!A87,SEARCH("=",Dados!A87)+2,(((SEARCH(" ",Dados!A87,SEARCH("=",Dados!A87)+2))-(SEARCH("=",Dados!A87)+2))))</f>
        <v>90</v>
      </c>
      <c r="C87" t="str">
        <f>MID(Dados!A87,SEARCH(" ",Dados!A87,8)+1,(SEARCH(" ",Dados!A87,12))-(SEARCH(" ",Dados!A87,8)+1))</f>
        <v>Gold</v>
      </c>
      <c r="D87" t="str">
        <f>RIGHT(Dados!A87,A87-SEARCH(C87,Dados!A87)-LEN(C87))</f>
        <v>5 0 0 0 0 0 0 0 0 0 0 6 0 1 1 -1 0 0 0 0 0 -1 42 0 -1 -1 -1</v>
      </c>
      <c r="E87">
        <f t="shared" si="2"/>
        <v>26</v>
      </c>
    </row>
    <row r="88" spans="1:8" x14ac:dyDescent="0.3">
      <c r="A88">
        <f>LEN(Dados!A88)</f>
        <v>83</v>
      </c>
      <c r="B88" t="str">
        <f>MID(Dados!A88,SEARCH("=",Dados!A88)+2,(((SEARCH(" ",Dados!A88,SEARCH("=",Dados!A88)+2))-(SEARCH("=",Dados!A88)+2))))</f>
        <v>91</v>
      </c>
      <c r="C88" t="str">
        <f>MID(Dados!A88,SEARCH(" ",Dados!A88,8)+1,(SEARCH(" ",Dados!A88,12))-(SEARCH(" ",Dados!A88,8)+1))</f>
        <v>RedPotion</v>
      </c>
      <c r="D88" t="str">
        <f>RIGHT(Dados!A88,A88-SEARCH(C88,Dados!A88)-LEN(C88))</f>
        <v>7 0 4 2 12 10 0 0 0 1 0 6 1 10 30 -1 0 0 0 0 0 -1 21 0 -1 -1 -1</v>
      </c>
      <c r="E88">
        <f t="shared" si="2"/>
        <v>26</v>
      </c>
    </row>
    <row r="89" spans="1:8" x14ac:dyDescent="0.3">
      <c r="A89">
        <f>LEN(Dados!A89)</f>
        <v>86</v>
      </c>
      <c r="B89" t="str">
        <f>MID(Dados!A89,SEARCH("=",Dados!A89)+2,(((SEARCH(" ",Dados!A89,SEARCH("=",Dados!A89)+2))-(SEARCH("=",Dados!A89)+2))))</f>
        <v>92</v>
      </c>
      <c r="C89" t="str">
        <f>MID(Dados!A89,SEARCH(" ",Dados!A89,8)+1,(SEARCH(" ",Dados!A89,12))-(SEARCH(" ",Dados!A89,8)+1))</f>
        <v>BigRedPotion</v>
      </c>
      <c r="D89" t="str">
        <f>RIGHT(Dados!A89,A89-SEARCH(C89,Dados!A89)-LEN(C89))</f>
        <v>7 0 4 3 8 40 0 0 0 1 0 6 2 65 100 -1 0 0 0 0 0 -1 21 0 -1 -1 -1</v>
      </c>
      <c r="E89">
        <f t="shared" si="2"/>
        <v>26</v>
      </c>
    </row>
    <row r="90" spans="1:8" x14ac:dyDescent="0.3">
      <c r="A90">
        <f>LEN(Dados!A90)</f>
        <v>84</v>
      </c>
      <c r="B90" t="str">
        <f>MID(Dados!A90,SEARCH("=",Dados!A90)+2,(((SEARCH(" ",Dados!A90,SEARCH("=",Dados!A90)+2))-(SEARCH("=",Dados!A90)+2))))</f>
        <v>93</v>
      </c>
      <c r="C90" t="str">
        <f>MID(Dados!A90,SEARCH(" ",Dados!A90,8)+1,(SEARCH(" ",Dados!A90,12))-(SEARCH(" ",Dados!A90,8)+1))</f>
        <v>BluePotion</v>
      </c>
      <c r="D90" t="str">
        <f>RIGHT(Dados!A90,A90-SEARCH(C90,Dados!A90)-LEN(C90))</f>
        <v>7 0 5 2 12 10 0 0 0 1 0 6 3 10 30 -1 0 0 0 0 0 -1 21 0 -1 -1 -1</v>
      </c>
      <c r="E90">
        <f t="shared" si="2"/>
        <v>26</v>
      </c>
    </row>
    <row r="91" spans="1:8" x14ac:dyDescent="0.3">
      <c r="A91">
        <f>LEN(Dados!A91)</f>
        <v>87</v>
      </c>
      <c r="B91" t="str">
        <f>MID(Dados!A91,SEARCH("=",Dados!A91)+2,(((SEARCH(" ",Dados!A91,SEARCH("=",Dados!A91)+2))-(SEARCH("=",Dados!A91)+2))))</f>
        <v>94</v>
      </c>
      <c r="C91" t="str">
        <f>MID(Dados!A91,SEARCH(" ",Dados!A91,8)+1,(SEARCH(" ",Dados!A91,12))-(SEARCH(" ",Dados!A91,8)+1))</f>
        <v>BigBluePotion</v>
      </c>
      <c r="D91" t="str">
        <f>RIGHT(Dados!A91,A91-SEARCH(C91,Dados!A91)-LEN(C91))</f>
        <v>7 0 5 4 8 50 0 0 0 1 0 6 4 65 100 -1 0 0 0 0 0 -1 21 0 -1 -1 -1</v>
      </c>
      <c r="E91">
        <f t="shared" si="2"/>
        <v>26</v>
      </c>
    </row>
    <row r="92" spans="1:8" x14ac:dyDescent="0.3">
      <c r="A92">
        <f>LEN(Dados!A92)</f>
        <v>85</v>
      </c>
      <c r="B92" t="str">
        <f>MID(Dados!A92,SEARCH("=",Dados!A92)+2,(((SEARCH(" ",Dados!A92,SEARCH("=",Dados!A92)+2))-(SEARCH("=",Dados!A92)+2))))</f>
        <v>95</v>
      </c>
      <c r="C92" t="str">
        <f>MID(Dados!A92,SEARCH(" ",Dados!A92,8)+1,(SEARCH(" ",Dados!A92,12))-(SEARCH(" ",Dados!A92,8)+1))</f>
        <v>GreenPotion</v>
      </c>
      <c r="D92" t="str">
        <f>RIGHT(Dados!A92,A92-SEARCH(C92,Dados!A92)-LEN(C92))</f>
        <v>7 0 6 2 12 10 0 0 0 1 0 6 5 10 30 -1 0 0 0 0 0 -1 21 0 -1 -1 -1</v>
      </c>
      <c r="E92">
        <f t="shared" si="2"/>
        <v>26</v>
      </c>
    </row>
    <row r="93" spans="1:8" x14ac:dyDescent="0.3">
      <c r="A93">
        <f>LEN(Dados!A93)</f>
        <v>88</v>
      </c>
      <c r="B93" t="str">
        <f>MID(Dados!A93,SEARCH("=",Dados!A93)+2,(((SEARCH(" ",Dados!A93,SEARCH("=",Dados!A93)+2))-(SEARCH("=",Dados!A93)+2))))</f>
        <v>96</v>
      </c>
      <c r="C93" t="str">
        <f>MID(Dados!A93,SEARCH(" ",Dados!A93,8)+1,(SEARCH(" ",Dados!A93,12))-(SEARCH(" ",Dados!A93,8)+1))</f>
        <v>BigGreenPotion</v>
      </c>
      <c r="D93" t="str">
        <f>RIGHT(Dados!A93,A93-SEARCH(C93,Dados!A93)-LEN(C93))</f>
        <v>7 0 6 4 8 50 0 0 0 1 0 6 6 65 100 -1 0 0 0 0 0 -1 21 0 -1 -1 -1</v>
      </c>
      <c r="E93">
        <f t="shared" si="2"/>
        <v>26</v>
      </c>
    </row>
    <row r="94" spans="1:8" x14ac:dyDescent="0.3">
      <c r="A94">
        <f>LEN(Dados!A94)</f>
        <v>89</v>
      </c>
      <c r="B94" t="str">
        <f>MID(Dados!A94,SEARCH("=",Dados!A94)+2,(((SEARCH(" ",Dados!A94,SEARCH("=",Dados!A94)+2))-(SEARCH("=",Dados!A94)+2))))</f>
        <v>97</v>
      </c>
      <c r="C94" t="str">
        <f>MID(Dados!A94,SEARCH(" ",Dados!A94,8)+1,(SEARCH(" ",Dados!A94,12))-(SEARCH(" ",Dados!A94,8)+1))</f>
        <v>DilutionPotion</v>
      </c>
      <c r="D94" t="str">
        <f>RIGHT(Dados!A94,A94-SEARCH(C94,Dados!A94)-LEN(C94))</f>
        <v>3 0 9 23 20 0 0 0 0 1 0 6 5 200 30 -1 0 0 0 0 0 -1 42 0 -1 -1 -1</v>
      </c>
      <c r="E94">
        <f t="shared" si="2"/>
        <v>26</v>
      </c>
    </row>
    <row r="95" spans="1:8" x14ac:dyDescent="0.3">
      <c r="A95">
        <f>LEN(Dados!A95)</f>
        <v>80</v>
      </c>
      <c r="B95" t="str">
        <f>MID(Dados!A95,SEARCH("=",Dados!A95)+2,(((SEARCH(" ",Dados!A95,SEARCH("=",Dados!A95)+2))-(SEARCH("=",Dados!A95)+2))))</f>
        <v>98</v>
      </c>
      <c r="C95" t="str">
        <f>MID(Dados!A95,SEARCH(" ",Dados!A95,8)+1,(SEARCH(" ",Dados!A95,12))-(SEARCH(" ",Dados!A95,8)+1))</f>
        <v>Baguette</v>
      </c>
      <c r="D95" t="str">
        <f>RIGHT(Dados!A95,A95-SEARCH(C95,Dados!A95)-LEN(C95))</f>
        <v>7 0 7 2 8 10 0 0 0 1 0 6 8 5 17 -1 0 0 0 0 0 -1 31 0 -1 -1 -1</v>
      </c>
      <c r="E95">
        <f t="shared" si="2"/>
        <v>26</v>
      </c>
    </row>
    <row r="96" spans="1:8" x14ac:dyDescent="0.3">
      <c r="A96">
        <f>LEN(Dados!A96)</f>
        <v>77</v>
      </c>
      <c r="B96" t="str">
        <f>MID(Dados!A96,SEARCH("=",Dados!A96)+2,(((SEARCH(" ",Dados!A96,SEARCH("=",Dados!A96)+2))-(SEARCH("=",Dados!A96)+2))))</f>
        <v>99</v>
      </c>
      <c r="C96" t="str">
        <f>MID(Dados!A96,SEARCH(" ",Dados!A96,8)+1,(SEARCH(" ",Dados!A96,12))-(SEARCH(" ",Dados!A96,8)+1))</f>
        <v>Meat</v>
      </c>
      <c r="D96" t="str">
        <f>RIGHT(Dados!A96,A96-SEARCH(C96,Dados!A96)-LEN(C96))</f>
        <v>7 0 7 4 8 10 0 0 0 1 0 6 7 10 52 -1 0 0 0 0 0 -1 31 0 -1 -1 -1</v>
      </c>
      <c r="E96">
        <f t="shared" si="2"/>
        <v>26</v>
      </c>
      <c r="H96">
        <f>(((SEARCH(" ",Dados!A97,SEARCH("=",Dados!A97)+2))-H97)-(SEARCH("=",Dados!A97)+2))</f>
        <v>-5</v>
      </c>
    </row>
    <row r="97" spans="1:9" x14ac:dyDescent="0.3">
      <c r="A97">
        <f>LEN(Dados!A97)</f>
        <v>79</v>
      </c>
      <c r="B97" t="str">
        <f>MID(Dados!A97,SEARCH("=",Dados!A97)+2,(((SEARCH(" ",Dados!A97,SEARCH("=",Dados!A97)+2))-(SEARCH("=",Dados!A97)+2))))</f>
        <v>100</v>
      </c>
      <c r="C97" t="str">
        <f>MID(Dados!A97,SEARCH(" ",Dados!A97,8)+1,(SEARCH(" ",Dados!A97,12))-(SEARCH(" ",Dados!A97,8)+1))</f>
        <v>Fish</v>
      </c>
      <c r="D97" t="str">
        <f>RIGHT(Dados!A97,A97-SEARCH(C97,Dados!A97)-LEN(C97))</f>
        <v>7 0 7 4 8 10 0 0 0 1 0 6 11 30 30 -1 0 0 0 0 0 -1 31 0 -1 -1 -1</v>
      </c>
      <c r="E97">
        <f t="shared" si="2"/>
        <v>26</v>
      </c>
      <c r="G97">
        <f>((SEARCH(" ",Dados!A97,SEARCH("=",Dados!A97)+2)))</f>
        <v>11</v>
      </c>
      <c r="H97">
        <f>SEARCH("=",Dados!A97)+2</f>
        <v>8</v>
      </c>
      <c r="I97">
        <f>G97-H97</f>
        <v>3</v>
      </c>
    </row>
    <row r="98" spans="1:9" x14ac:dyDescent="0.3">
      <c r="A98">
        <f>LEN(Dados!A98)</f>
        <v>85</v>
      </c>
      <c r="B98" t="str">
        <f>MID(Dados!A98,SEARCH("=",Dados!A98)+2,(((SEARCH(" ",Dados!A98,SEARCH("=",Dados!A98)+2))-(SEARCH("=",Dados!A98)+2))))</f>
        <v>101</v>
      </c>
      <c r="C98" t="str">
        <f>MID(Dados!A98,SEARCH(" ",Dados!A98,8)+1,(SEARCH(" ",Dados!A98,12))-(SEARCH(" ",Dados!A98,8)+1))</f>
        <v>RedFish</v>
      </c>
      <c r="D98" t="str">
        <f>RIGHT(Dados!A98,A98-SEARCH(C98,Dados!A98)-LEN(C98))</f>
        <v>7 0 7 8 4 60 0 0 0 1 0 6 14 -400 100 -1 0 0 0 0 0 -1 31 0 -1 -1 -1</v>
      </c>
      <c r="E98">
        <f t="shared" si="2"/>
        <v>26</v>
      </c>
    </row>
    <row r="99" spans="1:9" x14ac:dyDescent="0.3">
      <c r="A99">
        <f>LEN(Dados!A99)</f>
        <v>87</v>
      </c>
      <c r="B99" t="str">
        <f>MID(Dados!A99,SEARCH("=",Dados!A99)+2,(((SEARCH(" ",Dados!A99,SEARCH("=",Dados!A99)+2))-(SEARCH("=",Dados!A99)+2))))</f>
        <v>102</v>
      </c>
      <c r="C99" t="str">
        <f>MID(Dados!A99,SEARCH(" ",Dados!A99,8)+1,(SEARCH(" ",Dados!A99,12))-(SEARCH(" ",Dados!A99,8)+1))</f>
        <v>GreenFish</v>
      </c>
      <c r="D99" t="str">
        <f>RIGHT(Dados!A99,A99-SEARCH(C99,Dados!A99)-LEN(C99))</f>
        <v>7 0 7 8 4 40 0 0 0 1 0 6 15 -200 100 -1 0 0 0 0 0 -1 31 0 -1 -1 -1</v>
      </c>
      <c r="E99">
        <f t="shared" si="2"/>
        <v>26</v>
      </c>
    </row>
    <row r="100" spans="1:9" x14ac:dyDescent="0.3">
      <c r="A100">
        <f>LEN(Dados!A100)</f>
        <v>88</v>
      </c>
      <c r="B100" t="str">
        <f>MID(Dados!A100,SEARCH("=",Dados!A100)+2,(((SEARCH(" ",Dados!A100,SEARCH("=",Dados!A100)+2))-(SEARCH("=",Dados!A100)+2))))</f>
        <v>103</v>
      </c>
      <c r="C100" t="str">
        <f>MID(Dados!A100,SEARCH(" ",Dados!A100,8)+1,(SEARCH(" ",Dados!A100,12))-(SEARCH(" ",Dados!A100,8)+1))</f>
        <v>YellowFish</v>
      </c>
      <c r="D100" t="str">
        <f>RIGHT(Dados!A100,A100-SEARCH(C100,Dados!A100)-LEN(C100))</f>
        <v>7 0 7 8 4 30 0 0 0 1 0 6 16 -100 100 -1 0 0 0 0 0 -1 31 0 -1 -1 -1</v>
      </c>
      <c r="E100">
        <f t="shared" si="2"/>
        <v>26</v>
      </c>
    </row>
    <row r="101" spans="1:9" x14ac:dyDescent="0.3">
      <c r="A101">
        <f>LEN(Dados!A101)</f>
        <v>77</v>
      </c>
      <c r="B101" t="str">
        <f>MID(Dados!A101,SEARCH("=",Dados!A101)+2,(((SEARCH(" ",Dados!A101,SEARCH("=",Dados!A101)+2))-(SEARCH("=",Dados!A101)+2))))</f>
        <v>104</v>
      </c>
      <c r="C101" t="str">
        <f>MID(Dados!A101,SEARCH(" ",Dados!A101,8)+1,(SEARCH(" ",Dados!A101,12))-(SEARCH(" ",Dados!A101,8)+1))</f>
        <v>Map</v>
      </c>
      <c r="D101" t="str">
        <f>RIGHT(Dados!A101,A101-SEARCH(C101,Dados!A101)-LEN(C101))</f>
        <v>9 0 10 1 0 0 0 0 0 35 0 6 9 30 1 -1 0 0 0 0 0 -1 42 0 -1 -1 -1</v>
      </c>
      <c r="E101">
        <f t="shared" si="2"/>
        <v>26</v>
      </c>
    </row>
    <row r="102" spans="1:9" x14ac:dyDescent="0.3">
      <c r="A102">
        <f>LEN(Dados!A102)</f>
        <v>87</v>
      </c>
      <c r="B102" t="str">
        <f>MID(Dados!A102,SEARCH("=",Dados!A102)+2,(((SEARCH(" ",Dados!A102,SEARCH("=",Dados!A102)+2))-(SEARCH("=",Dados!A102)+2))))</f>
        <v>105</v>
      </c>
      <c r="C102" t="str">
        <f>MID(Dados!A102,SEARCH(" ",Dados!A102,8)+1,(SEARCH(" ",Dados!A102,12))-(SEARCH(" ",Dados!A102,8)+1))</f>
        <v>FishingRod</v>
      </c>
      <c r="D102" t="str">
        <f>RIGHT(Dados!A102,A102-SEARCH(C102,Dados!A102)-LEN(C102))</f>
        <v>8 0 0 1 8 0 0 0 0 200 0 14 0 100 300 -1 0 0 0 0 0 1 43 0 -1 -1 -1</v>
      </c>
      <c r="E102">
        <f t="shared" si="2"/>
        <v>26</v>
      </c>
    </row>
    <row r="103" spans="1:9" x14ac:dyDescent="0.3">
      <c r="A103">
        <f>LEN(Dados!A103)</f>
        <v>95</v>
      </c>
      <c r="B103" t="str">
        <f>MID(Dados!A103,SEARCH("=",Dados!A103)+2,(((SEARCH(" ",Dados!A103,SEARCH("=",Dados!A103)+2))-(SEARCH("=",Dados!A103)+2))))</f>
        <v>106</v>
      </c>
      <c r="C103" t="str">
        <f>MID(Dados!A103,SEARCH(" ",Dados!A103,8)+1,(SEARCH(" ",Dados!A103,12))-(SEARCH(" ",Dados!A103,8)+1))</f>
        <v>PretendCorpseManual</v>
      </c>
      <c r="D103" t="str">
        <f>RIGHT(Dados!A103,A103-SEARCH(C103,Dados!A103)-LEN(C103))</f>
        <v>3 0 9 19 20 0 0 0 0 0 0 6 92 100 1 -1 0 0 0 0 0 -1 42 0 -1 -1 -1</v>
      </c>
      <c r="E103">
        <f t="shared" si="2"/>
        <v>26</v>
      </c>
    </row>
    <row r="104" spans="1:9" x14ac:dyDescent="0.3">
      <c r="A104">
        <f>LEN(Dados!A104)</f>
        <v>88</v>
      </c>
      <c r="B104" t="str">
        <f>MID(Dados!A104,SEARCH("=",Dados!A104)+2,(((SEARCH(" ",Dados!A104,SEARCH("=",Dados!A104)+2))-(SEARCH("=",Dados!A104)+2))))</f>
        <v>107</v>
      </c>
      <c r="C104" t="str">
        <f>MID(Dados!A104,SEARCH(" ",Dados!A104,8)+1,(SEARCH(" ",Dados!A104,12))-(SEARCH(" ",Dados!A104,8)+1))</f>
        <v>ArcheryManual</v>
      </c>
      <c r="D104" t="str">
        <f>RIGHT(Dados!A104,A104-SEARCH(C104,Dados!A104)-LEN(C104))</f>
        <v>3 0 9 6 20 0 0 0 0 0 0 6 92 100 1 -1 0 0 0 0 0 -1 42 0 -1 -1 -1</v>
      </c>
      <c r="E104">
        <f t="shared" si="2"/>
        <v>26</v>
      </c>
    </row>
    <row r="105" spans="1:9" x14ac:dyDescent="0.3">
      <c r="A105">
        <f>LEN(Dados!A105)</f>
        <v>88</v>
      </c>
      <c r="B105" t="str">
        <f>MID(Dados!A105,SEARCH("=",Dados!A105)+2,(((SEARCH(" ",Dados!A105,SEARCH("=",Dados!A105)+2))-(SEARCH("=",Dados!A105)+2))))</f>
        <v>108</v>
      </c>
      <c r="C105" t="str">
        <f>MID(Dados!A105,SEARCH(" ",Dados!A105,8)+1,(SEARCH(" ",Dados!A105,12))-(SEARCH(" ",Dados!A105,8)+1))</f>
        <v>ShieldManual</v>
      </c>
      <c r="D105" t="str">
        <f>RIGHT(Dados!A105,A105-SEARCH(C105,Dados!A105)-LEN(C105))</f>
        <v>3 0 9 11 20 0 0 0 0 0 0 6 92 100 1 -1 0 0 0 0 0 -1 42 0 -1 -1 -1</v>
      </c>
      <c r="E105">
        <f t="shared" si="2"/>
        <v>26</v>
      </c>
    </row>
    <row r="106" spans="1:9" x14ac:dyDescent="0.3">
      <c r="A106">
        <f>LEN(Dados!A106)</f>
        <v>90</v>
      </c>
      <c r="B106" t="str">
        <f>MID(Dados!A106,SEARCH("=",Dados!A106)+2,(((SEARCH(" ",Dados!A106,SEARCH("=",Dados!A106)+2))-(SEARCH("=",Dados!A106)+2))))</f>
        <v>109</v>
      </c>
      <c r="C106" t="str">
        <f>MID(Dados!A106,SEARCH(" ",Dados!A106,8)+1,(SEARCH(" ",Dados!A106,12))-(SEARCH(" ",Dados!A106,8)+1))</f>
        <v>LongSwordManual</v>
      </c>
      <c r="D106" t="str">
        <f>RIGHT(Dados!A106,A106-SEARCH(C106,Dados!A106)-LEN(C106))</f>
        <v>3 0 9 8 20 0 0 0 0 0 0 6 92 100 1 -1 0 0 0 0 0 -1 42 0 -1 -1 -1</v>
      </c>
      <c r="E106">
        <f t="shared" si="2"/>
        <v>26</v>
      </c>
    </row>
    <row r="107" spans="1:9" x14ac:dyDescent="0.3">
      <c r="A107">
        <f>LEN(Dados!A107)</f>
        <v>88</v>
      </c>
      <c r="B107" t="str">
        <f>MID(Dados!A107,SEARCH("=",Dados!A107)+2,(((SEARCH(" ",Dados!A107,SEARCH("=",Dados!A107)+2))-(SEARCH("=",Dados!A107)+2))))</f>
        <v>110</v>
      </c>
      <c r="C107" t="str">
        <f>MID(Dados!A107,SEARCH(" ",Dados!A107,8)+1,(SEARCH(" ",Dados!A107,12))-(SEARCH(" ",Dados!A107,8)+1))</f>
        <v>FencingManual</v>
      </c>
      <c r="D107" t="str">
        <f>RIGHT(Dados!A107,A107-SEARCH(C107,Dados!A107)-LEN(C107))</f>
        <v>3 0 9 9 20 0 0 0 0 0 0 6 92 100 1 -1 0 0 0 0 0 -1 42 0 -1 -1 -1</v>
      </c>
      <c r="E107">
        <f t="shared" si="2"/>
        <v>26</v>
      </c>
    </row>
    <row r="108" spans="1:9" x14ac:dyDescent="0.3">
      <c r="A108">
        <f>LEN(Dados!A108)</f>
        <v>88</v>
      </c>
      <c r="B108" t="str">
        <f>MID(Dados!A108,SEARCH("=",Dados!A108)+2,(((SEARCH(" ",Dados!A108,SEARCH("=",Dados!A108)+2))-(SEARCH("=",Dados!A108)+2))))</f>
        <v>111</v>
      </c>
      <c r="C108" t="str">
        <f>MID(Dados!A108,SEARCH(" ",Dados!A108,8)+1,(SEARCH(" ",Dados!A108,12))-(SEARCH(" ",Dados!A108,8)+1))</f>
        <v>FishingManual</v>
      </c>
      <c r="D108" t="str">
        <f>RIGHT(Dados!A108,A108-SEARCH(C108,Dados!A108)-LEN(C108))</f>
        <v>3 0 9 1 20 0 0 0 0 0 0 6 92 100 1 -1 0 0 0 0 0 -1 42 0 -1 -1 -1</v>
      </c>
      <c r="E108">
        <f t="shared" si="2"/>
        <v>26</v>
      </c>
    </row>
    <row r="109" spans="1:9" x14ac:dyDescent="0.3">
      <c r="A109">
        <f>LEN(Dados!A109)</f>
        <v>85</v>
      </c>
      <c r="B109" t="str">
        <f>MID(Dados!A109,SEARCH("=",Dados!A109)+2,(((SEARCH(" ",Dados!A109,SEARCH("=",Dados!A109)+2))-(SEARCH("=",Dados!A109)+2))))</f>
        <v>112</v>
      </c>
      <c r="C109" t="str">
        <f>MID(Dados!A109,SEARCH(" ",Dados!A109,8)+1,(SEARCH(" ",Dados!A109,12))-(SEARCH(" ",Dados!A109,8)+1))</f>
        <v>AxeManual</v>
      </c>
      <c r="D109" t="str">
        <f>RIGHT(Dados!A109,A109-SEARCH(C109,Dados!A109)-LEN(C109))</f>
        <v>3 0 9 10 20 0 0 0 0 0 0 6 92 100 1 -1 0 0 0 0 0 -1 42 0 -1 -1 -1</v>
      </c>
      <c r="E109">
        <f t="shared" si="2"/>
        <v>26</v>
      </c>
    </row>
    <row r="110" spans="1:9" x14ac:dyDescent="0.3">
      <c r="A110">
        <f>LEN(Dados!A110)</f>
        <v>92</v>
      </c>
      <c r="B110" t="str">
        <f>MID(Dados!A110,SEARCH("=",Dados!A110)+2,(((SEARCH(" ",Dados!A110,SEARCH("=",Dados!A110)+2))-(SEARCH("=",Dados!A110)+2))))</f>
        <v>113</v>
      </c>
      <c r="C110" t="str">
        <f>MID(Dados!A110,SEARCH(" ",Dados!A110,8)+1,(SEARCH(" ",Dados!A110,12))-(SEARCH(" ",Dados!A110,8)+1))</f>
        <v>MagicResistManual</v>
      </c>
      <c r="D110" t="str">
        <f>RIGHT(Dados!A110,A110-SEARCH(C110,Dados!A110)-LEN(C110))</f>
        <v>3 0 9 3 20 0 0 0 0 0 0 6 92 500 1 -1 0 0 0 0 0 -1 42 0 -1 -1 -1</v>
      </c>
      <c r="E110">
        <f t="shared" si="2"/>
        <v>26</v>
      </c>
    </row>
    <row r="111" spans="1:9" x14ac:dyDescent="0.3">
      <c r="A111">
        <f>LEN(Dados!A111)</f>
        <v>86</v>
      </c>
      <c r="B111" t="str">
        <f>MID(Dados!A111,SEARCH("=",Dados!A111)+2,(((SEARCH(" ",Dados!A111,SEARCH("=",Dados!A111)+2))-(SEARCH("=",Dados!A111)+2))))</f>
        <v>114</v>
      </c>
      <c r="C111" t="str">
        <f>MID(Dados!A111,SEARCH(" ",Dados!A111,8)+1,(SEARCH(" ",Dados!A111,12))-(SEARCH(" ",Dados!A111,8)+1))</f>
        <v>RecallScroll</v>
      </c>
      <c r="D111" t="str">
        <f>RIGHT(Dados!A111,A111-SEARCH(C111,Dados!A111)-LEN(C111))</f>
        <v>3 0 11 1 0 0 0 0 0 1 0 6 9 120 1 -1 0 0 0 0 0 -1 42 0 -1 -1 -1</v>
      </c>
      <c r="E111">
        <f t="shared" si="2"/>
        <v>26</v>
      </c>
    </row>
    <row r="112" spans="1:9" x14ac:dyDescent="0.3">
      <c r="A112">
        <f>LEN(Dados!A112)</f>
        <v>92</v>
      </c>
      <c r="B112" t="str">
        <f>MID(Dados!A112,SEARCH("=",Dados!A112)+2,(((SEARCH(" ",Dados!A112,SEARCH("=",Dados!A112)+2))-(SEARCH("=",Dados!A112)+2))))</f>
        <v>115</v>
      </c>
      <c r="C112" t="str">
        <f>MID(Dados!A112,SEARCH(" ",Dados!A112,8)+1,(SEARCH(" ",Dados!A112,12))-(SEARCH(" ",Dados!A112,8)+1))</f>
        <v>InvisibilityScroll</v>
      </c>
      <c r="D112" t="str">
        <f>RIGHT(Dados!A112,A112-SEARCH(C112,Dados!A112)-LEN(C112))</f>
        <v>3 0 11 2 0 0 0 0 0 1 0 6 9 560 1 -1 0 0 0 0 0 -1 42 0 -1 -1 -1</v>
      </c>
      <c r="E112">
        <f t="shared" si="2"/>
        <v>26</v>
      </c>
    </row>
    <row r="113" spans="1:5" x14ac:dyDescent="0.3">
      <c r="A113">
        <f>LEN(Dados!A113)</f>
        <v>90</v>
      </c>
      <c r="B113" t="str">
        <f>MID(Dados!A113,SEARCH("=",Dados!A113)+2,(((SEARCH(" ",Dados!A113,SEARCH("=",Dados!A113)+2))-(SEARCH("=",Dados!A113)+2))))</f>
        <v>116</v>
      </c>
      <c r="C113" t="str">
        <f>MID(Dados!A113,SEARCH(" ",Dados!A113,8)+1,(SEARCH(" ",Dados!A113,12))-(SEARCH(" ",Dados!A113,8)+1))</f>
        <v>DetectInviScroll</v>
      </c>
      <c r="D113" t="str">
        <f>RIGHT(Dados!A113,A113-SEARCH(C113,Dados!A113)-LEN(C113))</f>
        <v>3 0 11 3 0 0 0 0 0 1 0 6 9 330 1 -1 0 0 0 0 0 -1 42 0 -1 -1 -1</v>
      </c>
      <c r="E113">
        <f t="shared" si="2"/>
        <v>26</v>
      </c>
    </row>
    <row r="114" spans="1:5" x14ac:dyDescent="0.3">
      <c r="A114">
        <f>LEN(Dados!A114)</f>
        <v>94</v>
      </c>
      <c r="B114" t="str">
        <f>MID(Dados!A114,SEARCH("=",Dados!A114)+2,(((SEARCH(" ",Dados!A114,SEARCH("=",Dados!A114)+2))-(SEARCH("=",Dados!A114)+2))))</f>
        <v>117</v>
      </c>
      <c r="C114" t="str">
        <f>MID(Dados!A114,SEARCH(" ",Dados!A114,8)+1,(SEARCH(" ",Dados!A114,12))-(SEARCH(" ",Dados!A114,8)+1))</f>
        <v>BleedingIslandTicket</v>
      </c>
      <c r="D114" t="str">
        <f>RIGHT(Dados!A114,A114-SEARCH(C114,Dados!A114)-LEN(C114))</f>
        <v>3 0 11 4 1 0 0 0 0 1 0 6 9 100 1 -1 0 0 0 0 0 -1 42 0 -1 -1 -1</v>
      </c>
      <c r="E114">
        <f t="shared" si="2"/>
        <v>26</v>
      </c>
    </row>
    <row r="115" spans="1:5" x14ac:dyDescent="0.3">
      <c r="A115">
        <f>LEN(Dados!A115)</f>
        <v>84</v>
      </c>
      <c r="B115" t="str">
        <f>MID(Dados!A115,SEARCH("=",Dados!A115)+2,(((SEARCH(" ",Dados!A115,SEARCH("=",Dados!A115)+2))-(SEARCH("=",Dados!A115)+2))))</f>
        <v>188</v>
      </c>
      <c r="C115" t="str">
        <f>MID(Dados!A115,SEARCH(" ",Dados!A115,8)+1,(SEARCH(" ",Dados!A115,12))-(SEARCH(" ",Dados!A115,8)+1))</f>
        <v>SnakeMeat</v>
      </c>
      <c r="D115" t="str">
        <f>RIGHT(Dados!A115,A115-SEARCH(C115,Dados!A115)-LEN(C115))</f>
        <v>7 0 7 4 8 20 0 0 0 1 0 6 17 -57 45 1 0 0 0 0 0 -1 31 0 -1 -1 -1</v>
      </c>
      <c r="E115">
        <f t="shared" si="2"/>
        <v>26</v>
      </c>
    </row>
    <row r="116" spans="1:5" x14ac:dyDescent="0.3">
      <c r="A116">
        <f>LEN(Dados!A116)</f>
        <v>84</v>
      </c>
      <c r="B116" t="str">
        <f>MID(Dados!A116,SEARCH("=",Dados!A116)+2,(((SEARCH(" ",Dados!A116,SEARCH("=",Dados!A116)+2))-(SEARCH("=",Dados!A116)+2))))</f>
        <v>189</v>
      </c>
      <c r="C116" t="str">
        <f>MID(Dados!A116,SEARCH(" ",Dados!A116,8)+1,(SEARCH(" ",Dados!A116,12))-(SEARCH(" ",Dados!A116,8)+1))</f>
        <v>SnakeSkin</v>
      </c>
      <c r="D116" t="str">
        <f>RIGHT(Dados!A116,A116-SEARCH(C116,Dados!A116)-LEN(C116))</f>
        <v>5 0 0 0 0 0 0 0 0 1 0 6 18 -175 20 1 0 0 0 0 0 -1 31 0 -1 -1 -1</v>
      </c>
      <c r="E116">
        <f t="shared" si="2"/>
        <v>26</v>
      </c>
    </row>
    <row r="117" spans="1:5" x14ac:dyDescent="0.3">
      <c r="A117">
        <f>LEN(Dados!A117)</f>
        <v>83</v>
      </c>
      <c r="B117" t="str">
        <f>MID(Dados!A117,SEARCH("=",Dados!A117)+2,(((SEARCH(" ",Dados!A117,SEARCH("=",Dados!A117)+2))-(SEARCH("=",Dados!A117)+2))))</f>
        <v>190</v>
      </c>
      <c r="C117" t="str">
        <f>MID(Dados!A117,SEARCH(" ",Dados!A117,8)+1,(SEARCH(" ",Dados!A117,12))-(SEARCH(" ",Dados!A117,8)+1))</f>
        <v>SnakeTeeth</v>
      </c>
      <c r="D117" t="str">
        <f>RIGHT(Dados!A117,A117-SEARCH(C117,Dados!A117)-LEN(C117))</f>
        <v>5 0 0 0 0 0 0 0 0 1 0 6 19 -55 5 1 0 0 0 0 0 -1 31 0 -1 -1 -1</v>
      </c>
      <c r="E117">
        <f t="shared" si="2"/>
        <v>26</v>
      </c>
    </row>
    <row r="118" spans="1:5" x14ac:dyDescent="0.3">
      <c r="A118">
        <f>LEN(Dados!A118)</f>
        <v>84</v>
      </c>
      <c r="B118" t="str">
        <f>MID(Dados!A118,SEARCH("=",Dados!A118)+2,(((SEARCH(" ",Dados!A118,SEARCH("=",Dados!A118)+2))-(SEARCH("=",Dados!A118)+2))))</f>
        <v>191</v>
      </c>
      <c r="C118" t="str">
        <f>MID(Dados!A118,SEARCH(" ",Dados!A118,8)+1,(SEARCH(" ",Dados!A118,12))-(SEARCH(" ",Dados!A118,8)+1))</f>
        <v>SnakeTongue</v>
      </c>
      <c r="D118" t="str">
        <f>RIGHT(Dados!A118,A118-SEARCH(C118,Dados!A118)-LEN(C118))</f>
        <v>5 0 0 0 0 0 0 0 0 1 0 6 20 -50 3 1 0 0 0 0 0 -1 31 0 -1 -1 -1</v>
      </c>
      <c r="E118">
        <f t="shared" si="2"/>
        <v>26</v>
      </c>
    </row>
    <row r="119" spans="1:5" x14ac:dyDescent="0.3">
      <c r="A119">
        <f>LEN(Dados!A119)</f>
        <v>80</v>
      </c>
      <c r="B119" t="str">
        <f>MID(Dados!A119,SEARCH("=",Dados!A119)+2,(((SEARCH(" ",Dados!A119,SEARCH("=",Dados!A119)+2))-(SEARCH("=",Dados!A119)+2))))</f>
        <v>192</v>
      </c>
      <c r="C119" t="str">
        <f>MID(Dados!A119,SEARCH(" ",Dados!A119,8)+1,(SEARCH(" ",Dados!A119,12))-(SEARCH(" ",Dados!A119,8)+1))</f>
        <v>AntLeg</v>
      </c>
      <c r="D119" t="str">
        <f>RIGHT(Dados!A119,A119-SEARCH(C119,Dados!A119)-LEN(C119))</f>
        <v>5 0 0 0 0 0 0 0 0 1 0 6 21 -32 17 1 0 0 0 0 0 -1 31 0 -1 -1 -1</v>
      </c>
      <c r="E119">
        <f t="shared" si="2"/>
        <v>26</v>
      </c>
    </row>
    <row r="120" spans="1:5" x14ac:dyDescent="0.3">
      <c r="A120">
        <f>LEN(Dados!A120)</f>
        <v>83</v>
      </c>
      <c r="B120" t="str">
        <f>MID(Dados!A120,SEARCH("=",Dados!A120)+2,(((SEARCH(" ",Dados!A120,SEARCH("=",Dados!A120)+2))-(SEARCH("=",Dados!A120)+2))))</f>
        <v>193</v>
      </c>
      <c r="C120" t="str">
        <f>MID(Dados!A120,SEARCH(" ",Dados!A120,8)+1,(SEARCH(" ",Dados!A120,12))-(SEARCH(" ",Dados!A120,8)+1))</f>
        <v>AntFeeler</v>
      </c>
      <c r="D120" t="str">
        <f>RIGHT(Dados!A120,A120-SEARCH(C120,Dados!A120)-LEN(C120))</f>
        <v>5 0 0 0 0 0 0 0 0 1 0 6 22 -34 10 1 0 0 0 0 0 -1 31 0 -1 -1 -1</v>
      </c>
      <c r="E120">
        <f t="shared" si="2"/>
        <v>26</v>
      </c>
    </row>
    <row r="121" spans="1:5" x14ac:dyDescent="0.3">
      <c r="A121">
        <f>LEN(Dados!A121)</f>
        <v>86</v>
      </c>
      <c r="B121" t="str">
        <f>MID(Dados!A121,SEARCH("=",Dados!A121)+2,(((SEARCH(" ",Dados!A121,SEARCH("=",Dados!A121)+2))-(SEARCH("=",Dados!A121)+2))))</f>
        <v>194</v>
      </c>
      <c r="C121" t="str">
        <f>MID(Dados!A121,SEARCH(" ",Dados!A121,8)+1,(SEARCH(" ",Dados!A121,12))-(SEARCH(" ",Dados!A121,8)+1))</f>
        <v>CyclopsEye</v>
      </c>
      <c r="D121" t="str">
        <f>RIGHT(Dados!A121,A121-SEARCH(C121,Dados!A121)-LEN(C121))</f>
        <v>0 0 0 0 0 0 0 0 0 1 0 6 23 -170 330 1 0 0 0 0 0 -1 31 0 -1 -1 -1</v>
      </c>
      <c r="E121">
        <f t="shared" si="2"/>
        <v>26</v>
      </c>
    </row>
    <row r="122" spans="1:5" x14ac:dyDescent="0.3">
      <c r="A122">
        <f>LEN(Dados!A122)</f>
        <v>92</v>
      </c>
      <c r="B122" t="str">
        <f>MID(Dados!A122,SEARCH("=",Dados!A122)+2,(((SEARCH(" ",Dados!A122,SEARCH("=",Dados!A122)+2))-(SEARCH("=",Dados!A122)+2))))</f>
        <v>195</v>
      </c>
      <c r="C122" t="str">
        <f>MID(Dados!A122,SEARCH(" ",Dados!A122,8)+1,(SEARCH(" ",Dados!A122,12))-(SEARCH(" ",Dados!A122,8)+1))</f>
        <v>CyclopsHandEdge</v>
      </c>
      <c r="D122" t="str">
        <f>RIGHT(Dados!A122,A122-SEARCH(C122,Dados!A122)-LEN(C122))</f>
        <v>0 0 0 0 0 0 0 0 0 1 0 6 24 -270 4000 1 0 0 0 0 0 -1 31 0 -1 -1 -1</v>
      </c>
      <c r="E122">
        <f t="shared" si="2"/>
        <v>26</v>
      </c>
    </row>
    <row r="123" spans="1:5" x14ac:dyDescent="0.3">
      <c r="A123">
        <f>LEN(Dados!A123)</f>
        <v>89</v>
      </c>
      <c r="B123" t="str">
        <f>MID(Dados!A123,SEARCH("=",Dados!A123)+2,(((SEARCH(" ",Dados!A123,SEARCH("=",Dados!A123)+2))-(SEARCH("=",Dados!A123)+2))))</f>
        <v>196</v>
      </c>
      <c r="C123" t="str">
        <f>MID(Dados!A123,SEARCH(" ",Dados!A123,8)+1,(SEARCH(" ",Dados!A123,12))-(SEARCH(" ",Dados!A123,8)+1))</f>
        <v>CyclopsHeart</v>
      </c>
      <c r="D123" t="str">
        <f>RIGHT(Dados!A123,A123-SEARCH(C123,Dados!A123)-LEN(C123))</f>
        <v>0 0 0 0 0 0 0 0 0 1 0 6 25 -160 1230 1 0 0 0 0 0 -1 31 0 -1 -1 -1</v>
      </c>
      <c r="E123">
        <f t="shared" si="2"/>
        <v>26</v>
      </c>
    </row>
    <row r="124" spans="1:5" x14ac:dyDescent="0.3">
      <c r="A124">
        <f>LEN(Dados!A124)</f>
        <v>87</v>
      </c>
      <c r="B124" t="str">
        <f>MID(Dados!A124,SEARCH("=",Dados!A124)+2,(((SEARCH(" ",Dados!A124,SEARCH("=",Dados!A124)+2))-(SEARCH("=",Dados!A124)+2))))</f>
        <v>197</v>
      </c>
      <c r="C124" t="str">
        <f>MID(Dados!A124,SEARCH(" ",Dados!A124,8)+1,(SEARCH(" ",Dados!A124,12))-(SEARCH(" ",Dados!A124,8)+1))</f>
        <v>CyclopsMeat</v>
      </c>
      <c r="D124" t="str">
        <f>RIGHT(Dados!A124,A124-SEARCH(C124,Dados!A124)-LEN(C124))</f>
        <v>7 0 7 4 8 30 0 0 0 1 0 6 26 -90 500 1 0 0 0 0 0 -1 31 0 -1 -1 -1</v>
      </c>
      <c r="E124">
        <f t="shared" si="2"/>
        <v>26</v>
      </c>
    </row>
    <row r="125" spans="1:5" x14ac:dyDescent="0.3">
      <c r="A125">
        <f>LEN(Dados!A125)</f>
        <v>90</v>
      </c>
      <c r="B125" t="str">
        <f>MID(Dados!A125,SEARCH("=",Dados!A125)+2,(((SEARCH(" ",Dados!A125,SEARCH("=",Dados!A125)+2))-(SEARCH("=",Dados!A125)+2))))</f>
        <v>198</v>
      </c>
      <c r="C125" t="str">
        <f>MID(Dados!A125,SEARCH(" ",Dados!A125,8)+1,(SEARCH(" ",Dados!A125,12))-(SEARCH(" ",Dados!A125,8)+1))</f>
        <v>CyclopsLeather</v>
      </c>
      <c r="D125" t="str">
        <f>RIGHT(Dados!A125,A125-SEARCH(C125,Dados!A125)-LEN(C125))</f>
        <v>5 0 0 0 0 0 0 0 0 1 0 6 27 -600 350 1 0 0 0 0 0 -1 31 0 -1 -1 -1</v>
      </c>
      <c r="E125">
        <f t="shared" si="2"/>
        <v>26</v>
      </c>
    </row>
    <row r="126" spans="1:5" x14ac:dyDescent="0.3">
      <c r="A126">
        <f>LEN(Dados!A126)</f>
        <v>88</v>
      </c>
      <c r="B126" t="str">
        <f>MID(Dados!A126,SEARCH("=",Dados!A126)+2,(((SEARCH(" ",Dados!A126,SEARCH("=",Dados!A126)+2))-(SEARCH("=",Dados!A126)+2))))</f>
        <v>199</v>
      </c>
      <c r="C126" t="str">
        <f>MID(Dados!A126,SEARCH(" ",Dados!A126,8)+1,(SEARCH(" ",Dados!A126,12))-(SEARCH(" ",Dados!A126,8)+1))</f>
        <v>HelboundHeart</v>
      </c>
      <c r="D126" t="str">
        <f>RIGHT(Dados!A126,A126-SEARCH(C126,Dados!A126)-LEN(C126))</f>
        <v>0 0 0 0 0 0 0 0 0 1 0 6 28 -90 820 1 0 0 0 0 0 -1 31 0 -1 -1 -1</v>
      </c>
      <c r="E126">
        <f t="shared" si="2"/>
        <v>26</v>
      </c>
    </row>
    <row r="127" spans="1:5" x14ac:dyDescent="0.3">
      <c r="A127">
        <f>LEN(Dados!A127)</f>
        <v>91</v>
      </c>
      <c r="B127" t="str">
        <f>MID(Dados!A127,SEARCH("=",Dados!A127)+2,(((SEARCH(" ",Dados!A127,SEARCH("=",Dados!A127)+2))-(SEARCH("=",Dados!A127)+2))))</f>
        <v>200</v>
      </c>
      <c r="C127" t="str">
        <f>MID(Dados!A127,SEARCH(" ",Dados!A127,8)+1,(SEARCH(" ",Dados!A127,12))-(SEARCH(" ",Dados!A127,8)+1))</f>
        <v>HelboundLeather</v>
      </c>
      <c r="D127" t="str">
        <f>RIGHT(Dados!A127,A127-SEARCH(C127,Dados!A127)-LEN(C127))</f>
        <v>5 0 0 0 0 0 0 0 0 1 0 6 29 -320 200 1 0 0 0 0 0 -1 31 0 -1 -1 -1</v>
      </c>
      <c r="E127">
        <f t="shared" si="2"/>
        <v>26</v>
      </c>
    </row>
    <row r="128" spans="1:5" x14ac:dyDescent="0.3">
      <c r="A128">
        <f>LEN(Dados!A128)</f>
        <v>87</v>
      </c>
      <c r="B128" t="str">
        <f>MID(Dados!A128,SEARCH("=",Dados!A128)+2,(((SEARCH(" ",Dados!A128,SEARCH("=",Dados!A128)+2))-(SEARCH("=",Dados!A128)+2))))</f>
        <v>201</v>
      </c>
      <c r="C128" t="str">
        <f>MID(Dados!A128,SEARCH(" ",Dados!A128,8)+1,(SEARCH(" ",Dados!A128,12))-(SEARCH(" ",Dados!A128,8)+1))</f>
        <v>HelboundTail</v>
      </c>
      <c r="D128" t="str">
        <f>RIGHT(Dados!A128,A128-SEARCH(C128,Dados!A128)-LEN(C128))</f>
        <v>5 0 0 0 0 0 0 0 0 1 0 6 30 -70 250 1 0 0 0 0 0 -1 31 0 -1 -1 -1</v>
      </c>
      <c r="E128">
        <f t="shared" si="2"/>
        <v>26</v>
      </c>
    </row>
    <row r="129" spans="1:5" x14ac:dyDescent="0.3">
      <c r="A129">
        <f>LEN(Dados!A129)</f>
        <v>88</v>
      </c>
      <c r="B129" t="str">
        <f>MID(Dados!A129,SEARCH("=",Dados!A129)+2,(((SEARCH(" ",Dados!A129,SEARCH("=",Dados!A129)+2))-(SEARCH("=",Dados!A129)+2))))</f>
        <v>202</v>
      </c>
      <c r="C129" t="str">
        <f>MID(Dados!A129,SEARCH(" ",Dados!A129,8)+1,(SEARCH(" ",Dados!A129,12))-(SEARCH(" ",Dados!A129,8)+1))</f>
        <v>HelboundTeeth</v>
      </c>
      <c r="D129" t="str">
        <f>RIGHT(Dados!A129,A129-SEARCH(C129,Dados!A129)-LEN(C129))</f>
        <v>5 0 0 0 0 0 0 0 0 1 0 6 31 -70 130 1 0 0 0 0 0 -1 31 0 -1 -1 -1</v>
      </c>
      <c r="E129">
        <f t="shared" si="2"/>
        <v>26</v>
      </c>
    </row>
    <row r="130" spans="1:5" x14ac:dyDescent="0.3">
      <c r="A130">
        <f>LEN(Dados!A130)</f>
        <v>87</v>
      </c>
      <c r="B130" t="str">
        <f>MID(Dados!A130,SEARCH("=",Dados!A130)+2,(((SEARCH(" ",Dados!A130,SEARCH("=",Dados!A130)+2))-(SEARCH("=",Dados!A130)+2))))</f>
        <v>203</v>
      </c>
      <c r="C130" t="str">
        <f>MID(Dados!A130,SEARCH(" ",Dados!A130,8)+1,(SEARCH(" ",Dados!A130,12))-(SEARCH(" ",Dados!A130,8)+1))</f>
        <v>HelboundClaw</v>
      </c>
      <c r="D130" t="str">
        <f>RIGHT(Dados!A130,A130-SEARCH(C130,Dados!A130)-LEN(C130))</f>
        <v>5 0 0 0 0 0 0 0 0 1 0 6 32 -70 280 1 0 0 0 0 0 -1 31 0 -1 -1 -1</v>
      </c>
      <c r="E130">
        <f t="shared" si="2"/>
        <v>26</v>
      </c>
    </row>
    <row r="131" spans="1:5" x14ac:dyDescent="0.3">
      <c r="A131">
        <f>LEN(Dados!A131)</f>
        <v>89</v>
      </c>
      <c r="B131" t="str">
        <f>MID(Dados!A131,SEARCH("=",Dados!A131)+2,(((SEARCH(" ",Dados!A131,SEARCH("=",Dados!A131)+2))-(SEARCH("=",Dados!A131)+2))))</f>
        <v>204</v>
      </c>
      <c r="C131" t="str">
        <f>MID(Dados!A131,SEARCH(" ",Dados!A131,8)+1,(SEARCH(" ",Dados!A131,12))-(SEARCH(" ",Dados!A131,8)+1))</f>
        <v>HelboundTongue</v>
      </c>
      <c r="D131" t="str">
        <f>RIGHT(Dados!A131,A131-SEARCH(C131,Dados!A131)-LEN(C131))</f>
        <v>5 0 0 0 0 0 0 0 0 1 0 6 33 -75 150 1 0 0 0 0 0 -1 31 0 -1 -1 -1</v>
      </c>
      <c r="E131">
        <f t="shared" ref="E131:E165" si="3">LEN(D131)-LEN(SUBSTITUTE(D131," ",""))</f>
        <v>26</v>
      </c>
    </row>
    <row r="132" spans="1:5" x14ac:dyDescent="0.3">
      <c r="A132">
        <f>LEN(Dados!A132)</f>
        <v>85</v>
      </c>
      <c r="B132" t="str">
        <f>MID(Dados!A132,SEARCH("=",Dados!A132)+2,(((SEARCH(" ",Dados!A132,SEARCH("=",Dados!A132)+2))-(SEARCH("=",Dados!A132)+2))))</f>
        <v>205</v>
      </c>
      <c r="C132" t="str">
        <f>MID(Dados!A132,SEARCH(" ",Dados!A132,8)+1,(SEARCH(" ",Dados!A132,12))-(SEARCH(" ",Dados!A132,8)+1))</f>
        <v>LumpofClay</v>
      </c>
      <c r="D132" t="str">
        <f>RIGHT(Dados!A132,A132-SEARCH(C132,Dados!A132)-LEN(C132))</f>
        <v>5 0 0 0 0 0 0 0 0 1 0 6 34 -95 230 1 0 0 0 0 0 -1 31 0 -1 -1 -1</v>
      </c>
      <c r="E132">
        <f t="shared" si="3"/>
        <v>26</v>
      </c>
    </row>
    <row r="133" spans="1:5" x14ac:dyDescent="0.3">
      <c r="A133">
        <f>LEN(Dados!A133)</f>
        <v>82</v>
      </c>
      <c r="B133" t="str">
        <f>MID(Dados!A133,SEARCH("=",Dados!A133)+2,(((SEARCH(" ",Dados!A133,SEARCH("=",Dados!A133)+2))-(SEARCH("=",Dados!A133)+2))))</f>
        <v>206</v>
      </c>
      <c r="C133" t="str">
        <f>MID(Dados!A133,SEARCH(" ",Dados!A133,8)+1,(SEARCH(" ",Dados!A133,12))-(SEARCH(" ",Dados!A133,8)+1))</f>
        <v>OrcMeat</v>
      </c>
      <c r="D133" t="str">
        <f>RIGHT(Dados!A133,A133-SEARCH(C133,Dados!A133)-LEN(C133))</f>
        <v>7 0 7 2 4 5 0 0 0 1 0 6 35 -50 100 1 0 0 0 0 0 -1 31 0 -1 -1 -1</v>
      </c>
      <c r="E133">
        <f t="shared" si="3"/>
        <v>26</v>
      </c>
    </row>
    <row r="134" spans="1:5" x14ac:dyDescent="0.3">
      <c r="A134">
        <f>LEN(Dados!A134)</f>
        <v>86</v>
      </c>
      <c r="B134" t="str">
        <f>MID(Dados!A134,SEARCH("=",Dados!A134)+2,(((SEARCH(" ",Dados!A134,SEARCH("=",Dados!A134)+2))-(SEARCH("=",Dados!A134)+2))))</f>
        <v>207</v>
      </c>
      <c r="C134" t="str">
        <f>MID(Dados!A134,SEARCH(" ",Dados!A134,8)+1,(SEARCH(" ",Dados!A134,12))-(SEARCH(" ",Dados!A134,8)+1))</f>
        <v>OrcLeather</v>
      </c>
      <c r="D134" t="str">
        <f>RIGHT(Dados!A134,A134-SEARCH(C134,Dados!A134)-LEN(C134))</f>
        <v>5 0 0 0 0 0 0 0 0 1 0 6 36 -193 100 1 0 0 0 0 0 -1 31 0 -1 -1 -1</v>
      </c>
      <c r="E134">
        <f t="shared" si="3"/>
        <v>26</v>
      </c>
    </row>
    <row r="135" spans="1:5" x14ac:dyDescent="0.3">
      <c r="A135">
        <f>LEN(Dados!A135)</f>
        <v>82</v>
      </c>
      <c r="B135" t="str">
        <f>MID(Dados!A135,SEARCH("=",Dados!A135)+2,(((SEARCH(" ",Dados!A135,SEARCH("=",Dados!A135)+2))-(SEARCH("=",Dados!A135)+2))))</f>
        <v>208</v>
      </c>
      <c r="C135" t="str">
        <f>MID(Dados!A135,SEARCH(" ",Dados!A135,8)+1,(SEARCH(" ",Dados!A135,12))-(SEARCH(" ",Dados!A135,8)+1))</f>
        <v>OrcTeeth</v>
      </c>
      <c r="D135" t="str">
        <f>RIGHT(Dados!A135,A135-SEARCH(C135,Dados!A135)-LEN(C135))</f>
        <v>5 0 0 0 0 0 0 0 0 1 0 6 37 -56 50 1 0 0 0 0 0 -1 31 0 -1 -1 -1</v>
      </c>
      <c r="E135">
        <f t="shared" si="3"/>
        <v>26</v>
      </c>
    </row>
    <row r="136" spans="1:5" x14ac:dyDescent="0.3">
      <c r="A136">
        <f>LEN(Dados!A136)</f>
        <v>84</v>
      </c>
      <c r="B136" t="str">
        <f>MID(Dados!A136,SEARCH("=",Dados!A136)+2,(((SEARCH(" ",Dados!A136,SEARCH("=",Dados!A136)+2))-(SEARCH("=",Dados!A136)+2))))</f>
        <v>209</v>
      </c>
      <c r="C136" t="str">
        <f>MID(Dados!A136,SEARCH(" ",Dados!A136,8)+1,(SEARCH(" ",Dados!A136,12))-(SEARCH(" ",Dados!A136,8)+1))</f>
        <v>OgreHair</v>
      </c>
      <c r="D136" t="str">
        <f>RIGHT(Dados!A136,A136-SEARCH(C136,Dados!A136)-LEN(C136))</f>
        <v>5 0 0 0 0 0 0 0 0 1 0 6 38 -230 250 1 0 0 0 0 0 -1 31 0 -1 -1 -1</v>
      </c>
      <c r="E136">
        <f t="shared" si="3"/>
        <v>26</v>
      </c>
    </row>
    <row r="137" spans="1:5" x14ac:dyDescent="0.3">
      <c r="A137">
        <f>LEN(Dados!A137)</f>
        <v>86</v>
      </c>
      <c r="B137" t="str">
        <f>MID(Dados!A137,SEARCH("=",Dados!A137)+2,(((SEARCH(" ",Dados!A137,SEARCH("=",Dados!A137)+2))-(SEARCH("=",Dados!A137)+2))))</f>
        <v>210</v>
      </c>
      <c r="C137" t="str">
        <f>MID(Dados!A137,SEARCH(" ",Dados!A137,8)+1,(SEARCH(" ",Dados!A137,12))-(SEARCH(" ",Dados!A137,8)+1))</f>
        <v>OgreHeart</v>
      </c>
      <c r="D137" t="str">
        <f>RIGHT(Dados!A137,A137-SEARCH(C137,Dados!A137)-LEN(C137))</f>
        <v>0 0 0 0 0 0 0 0 0 1 0 6 39 -340 1580 1 0 0 0 0 0 -1 31 0 -1 -1 -1</v>
      </c>
      <c r="E137">
        <f t="shared" si="3"/>
        <v>26</v>
      </c>
    </row>
    <row r="138" spans="1:5" x14ac:dyDescent="0.3">
      <c r="A138">
        <f>LEN(Dados!A138)</f>
        <v>85</v>
      </c>
      <c r="B138" t="str">
        <f>MID(Dados!A138,SEARCH("=",Dados!A138)+2,(((SEARCH(" ",Dados!A138,SEARCH("=",Dados!A138)+2))-(SEARCH("=",Dados!A138)+2))))</f>
        <v>211</v>
      </c>
      <c r="C138" t="str">
        <f>MID(Dados!A138,SEARCH(" ",Dados!A138,8)+1,(SEARCH(" ",Dados!A138,12))-(SEARCH(" ",Dados!A138,8)+1))</f>
        <v>OgreMeat</v>
      </c>
      <c r="D138" t="str">
        <f>RIGHT(Dados!A138,A138-SEARCH(C138,Dados!A138)-LEN(C138))</f>
        <v>7 0 7 4 8 50 0 0 0 1 0 6 40 -200 710 1 0 0 0 0 0 -1 31 0 -1 -1 -1</v>
      </c>
      <c r="E138">
        <f t="shared" si="3"/>
        <v>26</v>
      </c>
    </row>
    <row r="139" spans="1:5" x14ac:dyDescent="0.3">
      <c r="A139">
        <f>LEN(Dados!A139)</f>
        <v>87</v>
      </c>
      <c r="B139" t="str">
        <f>MID(Dados!A139,SEARCH("=",Dados!A139)+2,(((SEARCH(" ",Dados!A139,SEARCH("=",Dados!A139)+2))-(SEARCH("=",Dados!A139)+2))))</f>
        <v>212</v>
      </c>
      <c r="C139" t="str">
        <f>MID(Dados!A139,SEARCH(" ",Dados!A139,8)+1,(SEARCH(" ",Dados!A139,12))-(SEARCH(" ",Dados!A139,8)+1))</f>
        <v>OgreLeather</v>
      </c>
      <c r="D139" t="str">
        <f>RIGHT(Dados!A139,A139-SEARCH(C139,Dados!A139)-LEN(C139))</f>
        <v>5 0 0 0 0 0 0 0 0 1 0 6 41 -840 650 1 0 0 0 0 0 -1 31 0 -1 -1 -1</v>
      </c>
      <c r="E139">
        <f t="shared" si="3"/>
        <v>26</v>
      </c>
    </row>
    <row r="140" spans="1:5" x14ac:dyDescent="0.3">
      <c r="A140">
        <f>LEN(Dados!A140)</f>
        <v>85</v>
      </c>
      <c r="B140" t="str">
        <f>MID(Dados!A140,SEARCH("=",Dados!A140)+2,(((SEARCH(" ",Dados!A140,SEARCH("=",Dados!A140)+2))-(SEARCH("=",Dados!A140)+2))))</f>
        <v>213</v>
      </c>
      <c r="C140" t="str">
        <f>MID(Dados!A140,SEARCH(" ",Dados!A140,8)+1,(SEARCH(" ",Dados!A140,12))-(SEARCH(" ",Dados!A140,8)+1))</f>
        <v>OgreTeeth</v>
      </c>
      <c r="D140" t="str">
        <f>RIGHT(Dados!A140,A140-SEARCH(C140,Dados!A140)-LEN(C140))</f>
        <v>5 0 0 0 0 0 0 0 0 1 0 6 42 -215 230 1 0 0 0 0 0 -1 31 0 -1 -1 -1</v>
      </c>
      <c r="E140">
        <f t="shared" si="3"/>
        <v>26</v>
      </c>
    </row>
    <row r="141" spans="1:5" x14ac:dyDescent="0.3">
      <c r="A141">
        <f>LEN(Dados!A141)</f>
        <v>84</v>
      </c>
      <c r="B141" t="str">
        <f>MID(Dados!A141,SEARCH("=",Dados!A141)+2,(((SEARCH(" ",Dados!A141,SEARCH("=",Dados!A141)+2))-(SEARCH("=",Dados!A141)+2))))</f>
        <v>214</v>
      </c>
      <c r="C141" t="str">
        <f>MID(Dados!A141,SEARCH(" ",Dados!A141,8)+1,(SEARCH(" ",Dados!A141,12))-(SEARCH(" ",Dados!A141,8)+1))</f>
        <v>OgreClaw</v>
      </c>
      <c r="D141" t="str">
        <f>RIGHT(Dados!A141,A141-SEARCH(C141,Dados!A141)-LEN(C141))</f>
        <v>5 0 0 0 0 0 0 0 0 1 0 6 43 -215 370 1 0 0 0 0 0 -1 31 0 -1 -1 -1</v>
      </c>
      <c r="E141">
        <f t="shared" si="3"/>
        <v>26</v>
      </c>
    </row>
    <row r="142" spans="1:5" x14ac:dyDescent="0.3">
      <c r="A142">
        <f>LEN(Dados!A142)</f>
        <v>91</v>
      </c>
      <c r="B142" t="str">
        <f>MID(Dados!A142,SEARCH("=",Dados!A142)+2,(((SEARCH(" ",Dados!A142,SEARCH("=",Dados!A142)+2))-(SEARCH("=",Dados!A142)+2))))</f>
        <v>215</v>
      </c>
      <c r="C142" t="str">
        <f>MID(Dados!A142,SEARCH(" ",Dados!A142,8)+1,(SEARCH(" ",Dados!A142,12))-(SEARCH(" ",Dados!A142,8)+1))</f>
        <v>ScorpionPincers</v>
      </c>
      <c r="D142" t="str">
        <f>RIGHT(Dados!A142,A142-SEARCH(C142,Dados!A142)-LEN(C142))</f>
        <v>0 0 0 0 0 0 0 0 0 1 0 6 44 -50 1200 1 0 0 0 0 0 -1 31 0 -1 -1 -1</v>
      </c>
      <c r="E142">
        <f t="shared" si="3"/>
        <v>26</v>
      </c>
    </row>
    <row r="143" spans="1:5" x14ac:dyDescent="0.3">
      <c r="A143">
        <f>LEN(Dados!A143)</f>
        <v>88</v>
      </c>
      <c r="B143" t="str">
        <f>MID(Dados!A143,SEARCH("=",Dados!A143)+2,(((SEARCH(" ",Dados!A143,SEARCH("=",Dados!A143)+2))-(SEARCH("=",Dados!A143)+2))))</f>
        <v>216</v>
      </c>
      <c r="C143" t="str">
        <f>MID(Dados!A143,SEARCH(" ",Dados!A143,8)+1,(SEARCH(" ",Dados!A143,12))-(SEARCH(" ",Dados!A143,8)+1))</f>
        <v>ScorpionMeat</v>
      </c>
      <c r="D143" t="str">
        <f>RIGHT(Dados!A143,A143-SEARCH(C143,Dados!A143)-LEN(C143))</f>
        <v>7 0 7 4 8 25 0 0 0 1 0 6 45 -55 450 1 0 0 0 0 0 -1 31 0 -1 -1 -1</v>
      </c>
      <c r="E143">
        <f t="shared" si="3"/>
        <v>26</v>
      </c>
    </row>
    <row r="144" spans="1:5" x14ac:dyDescent="0.3">
      <c r="A144">
        <f>LEN(Dados!A144)</f>
        <v>89</v>
      </c>
      <c r="B144" t="str">
        <f>MID(Dados!A144,SEARCH("=",Dados!A144)+2,(((SEARCH(" ",Dados!A144,SEARCH("=",Dados!A144)+2))-(SEARCH("=",Dados!A144)+2))))</f>
        <v>217</v>
      </c>
      <c r="C144" t="str">
        <f>MID(Dados!A144,SEARCH(" ",Dados!A144,8)+1,(SEARCH(" ",Dados!A144,12))-(SEARCH(" ",Dados!A144,8)+1))</f>
        <v>ScorpionSting</v>
      </c>
      <c r="D144" t="str">
        <f>RIGHT(Dados!A144,A144-SEARCH(C144,Dados!A144)-LEN(C144))</f>
        <v>0 0 0 0 0 0 0 0 0 1 0 6 46 -55 1000 1 0 0 0 0 0 -1 31 0 -1 -1 -1</v>
      </c>
      <c r="E144">
        <f t="shared" si="3"/>
        <v>26</v>
      </c>
    </row>
    <row r="145" spans="1:5" x14ac:dyDescent="0.3">
      <c r="A145">
        <f>LEN(Dados!A145)</f>
        <v>87</v>
      </c>
      <c r="B145" t="str">
        <f>MID(Dados!A145,SEARCH("=",Dados!A145)+2,(((SEARCH(" ",Dados!A145,SEARCH("=",Dados!A145)+2))-(SEARCH("=",Dados!A145)+2))))</f>
        <v>218</v>
      </c>
      <c r="C145" t="str">
        <f>MID(Dados!A145,SEARCH(" ",Dados!A145,8)+1,(SEARCH(" ",Dados!A145,12))-(SEARCH(" ",Dados!A145,8)+1))</f>
        <v>ScorpionSkin</v>
      </c>
      <c r="D145" t="str">
        <f>RIGHT(Dados!A145,A145-SEARCH(C145,Dados!A145)-LEN(C145))</f>
        <v>5 0 0 0 0 0 0 0 0 1 0 6 47 -90 380 1 0 0 0 0 0 -1 31 0 -1 -1 -1</v>
      </c>
      <c r="E145">
        <f t="shared" si="3"/>
        <v>26</v>
      </c>
    </row>
    <row r="146" spans="1:5" x14ac:dyDescent="0.3">
      <c r="A146">
        <f>LEN(Dados!A146)</f>
        <v>89</v>
      </c>
      <c r="B146" t="str">
        <f>MID(Dados!A146,SEARCH("=",Dados!A146)+2,(((SEARCH(" ",Dados!A146,SEARCH("=",Dados!A146)+2))-(SEARCH("=",Dados!A146)+2))))</f>
        <v>219</v>
      </c>
      <c r="C146" t="str">
        <f>MID(Dados!A146,SEARCH(" ",Dados!A146,8)+1,(SEARCH(" ",Dados!A146,12))-(SEARCH(" ",Dados!A146,8)+1))</f>
        <v>SkeletonBones</v>
      </c>
      <c r="D146" t="str">
        <f>RIGHT(Dados!A146,A146-SEARCH(C146,Dados!A146)-LEN(C146))</f>
        <v>5 0 0 0 0 0 0 0 0 1 0 6 48 -50 1300 1 0 0 0 0 0 -1 31 0 -1 -1 -1</v>
      </c>
      <c r="E146">
        <f t="shared" si="3"/>
        <v>26</v>
      </c>
    </row>
    <row r="147" spans="1:5" x14ac:dyDescent="0.3">
      <c r="A147">
        <f>LEN(Dados!A147)</f>
        <v>85</v>
      </c>
      <c r="B147" t="str">
        <f>MID(Dados!A147,SEARCH("=",Dados!A147)+2,(((SEARCH(" ",Dados!A147,SEARCH("=",Dados!A147)+2))-(SEARCH("=",Dados!A147)+2))))</f>
        <v>220</v>
      </c>
      <c r="C147" t="str">
        <f>MID(Dados!A147,SEARCH(" ",Dados!A147,8)+1,(SEARCH(" ",Dados!A147,12))-(SEARCH(" ",Dados!A147,8)+1))</f>
        <v>SlimeJelly</v>
      </c>
      <c r="D147" t="str">
        <f>RIGHT(Dados!A147,A147-SEARCH(C147,Dados!A147)-LEN(C147))</f>
        <v>5 0 0 0 0 0 0 0 0 1 0 6 49 -10 100 1 0 0 0 0 0 -1 31 0 -1 -1 -1</v>
      </c>
      <c r="E147">
        <f t="shared" si="3"/>
        <v>26</v>
      </c>
    </row>
    <row r="148" spans="1:5" x14ac:dyDescent="0.3">
      <c r="A148">
        <f>LEN(Dados!A148)</f>
        <v>90</v>
      </c>
      <c r="B148" t="str">
        <f>MID(Dados!A148,SEARCH("=",Dados!A148)+2,(((SEARCH(" ",Dados!A148,SEARCH("=",Dados!A148)+2))-(SEARCH("=",Dados!A148)+2))))</f>
        <v>221</v>
      </c>
      <c r="C148" t="str">
        <f>MID(Dados!A148,SEARCH(" ",Dados!A148,8)+1,(SEARCH(" ",Dados!A148,12))-(SEARCH(" ",Dados!A148,8)+1))</f>
        <v>StoneGolemPiece</v>
      </c>
      <c r="D148" t="str">
        <f>RIGHT(Dados!A148,A148-SEARCH(C148,Dados!A148)-LEN(C148))</f>
        <v>5 0 0 0 0 0 0 0 0 1 0 6 50 -50 500 1 0 0 0 0 0 -1 31 0 -1 -1 -1</v>
      </c>
      <c r="E148">
        <f t="shared" si="3"/>
        <v>26</v>
      </c>
    </row>
    <row r="149" spans="1:5" x14ac:dyDescent="0.3">
      <c r="A149">
        <f>LEN(Dados!A149)</f>
        <v>87</v>
      </c>
      <c r="B149" t="str">
        <f>MID(Dados!A149,SEARCH("=",Dados!A149)+2,(((SEARCH(" ",Dados!A149,SEARCH("=",Dados!A149)+2))-(SEARCH("=",Dados!A149)+2))))</f>
        <v>222</v>
      </c>
      <c r="C149" t="str">
        <f>MID(Dados!A149,SEARCH(" ",Dados!A149,8)+1,(SEARCH(" ",Dados!A149,12))-(SEARCH(" ",Dados!A149,8)+1))</f>
        <v>TrollHeart</v>
      </c>
      <c r="D149" t="str">
        <f>RIGHT(Dados!A149,A149-SEARCH(C149,Dados!A149)-LEN(C149))</f>
        <v>0 0 0 0 0 0 0 0 0 1 0 6 51 -145 1050 1 0 0 0 0 0 -1 31 0 -1 -1 -1</v>
      </c>
      <c r="E149">
        <f t="shared" si="3"/>
        <v>26</v>
      </c>
    </row>
    <row r="150" spans="1:5" x14ac:dyDescent="0.3">
      <c r="A150">
        <f>LEN(Dados!A150)</f>
        <v>86</v>
      </c>
      <c r="B150" t="str">
        <f>MID(Dados!A150,SEARCH("=",Dados!A150)+2,(((SEARCH(" ",Dados!A150,SEARCH("=",Dados!A150)+2))-(SEARCH("=",Dados!A150)+2))))</f>
        <v>223</v>
      </c>
      <c r="C150" t="str">
        <f>MID(Dados!A150,SEARCH(" ",Dados!A150,8)+1,(SEARCH(" ",Dados!A150,12))-(SEARCH(" ",Dados!A150,8)+1))</f>
        <v>TrollMeat</v>
      </c>
      <c r="D150" t="str">
        <f>RIGHT(Dados!A150,A150-SEARCH(C150,Dados!A150)-LEN(C150))</f>
        <v>7 0 7 8 4 50 0 0 0 1 0 6 52 -180 500 1 0 0 0 0 0 -1 31 0 -1 -1 -1</v>
      </c>
      <c r="E150">
        <f t="shared" si="3"/>
        <v>26</v>
      </c>
    </row>
    <row r="151" spans="1:5" x14ac:dyDescent="0.3">
      <c r="A151">
        <f>LEN(Dados!A151)</f>
        <v>88</v>
      </c>
      <c r="B151" t="str">
        <f>MID(Dados!A151,SEARCH("=",Dados!A151)+2,(((SEARCH(" ",Dados!A151,SEARCH("=",Dados!A151)+2))-(SEARCH("=",Dados!A151)+2))))</f>
        <v>224</v>
      </c>
      <c r="C151" t="str">
        <f>MID(Dados!A151,SEARCH(" ",Dados!A151,8)+1,(SEARCH(" ",Dados!A151,12))-(SEARCH(" ",Dados!A151,8)+1))</f>
        <v>TrollLeather</v>
      </c>
      <c r="D151" t="str">
        <f>RIGHT(Dados!A151,A151-SEARCH(C151,Dados!A151)-LEN(C151))</f>
        <v>5 0 0 0 0 0 0 0 0 1 0 6 53 -335 450 1 0 0 0 0 0 -1 31 0 -1 -1 -1</v>
      </c>
      <c r="E151">
        <f t="shared" si="3"/>
        <v>26</v>
      </c>
    </row>
    <row r="152" spans="1:5" x14ac:dyDescent="0.3">
      <c r="A152">
        <f>LEN(Dados!A152)</f>
        <v>84</v>
      </c>
      <c r="B152" t="str">
        <f>MID(Dados!A152,SEARCH("=",Dados!A152)+2,(((SEARCH(" ",Dados!A152,SEARCH("=",Dados!A152)+2))-(SEARCH("=",Dados!A152)+2))))</f>
        <v>225</v>
      </c>
      <c r="C152" t="str">
        <f>MID(Dados!A152,SEARCH(" ",Dados!A152,8)+1,(SEARCH(" ",Dados!A152,12))-(SEARCH(" ",Dados!A152,8)+1))</f>
        <v>TrollClaw</v>
      </c>
      <c r="D152" t="str">
        <f>RIGHT(Dados!A152,A152-SEARCH(C152,Dados!A152)-LEN(C152))</f>
        <v>5 0 0 0 0 0 0 0 0 1 0 6 54 -70 290 1 0 0 0 0 0 -1 31 0 -1 -1 -1</v>
      </c>
      <c r="E152">
        <f t="shared" si="3"/>
        <v>26</v>
      </c>
    </row>
    <row r="153" spans="1:5" x14ac:dyDescent="0.3">
      <c r="A153">
        <f>LEN(Dados!A153)</f>
        <v>89</v>
      </c>
      <c r="B153" t="str">
        <f>MID(Dados!A153,SEARCH("=",Dados!A153)+2,(((SEARCH(" ",Dados!A153,SEARCH("=",Dados!A153)+2))-(SEARCH("=",Dados!A153)+2))))</f>
        <v>226</v>
      </c>
      <c r="C153" t="str">
        <f>MID(Dados!A153,SEARCH(" ",Dados!A153,8)+1,(SEARCH(" ",Dados!A153,12))-(SEARCH(" ",Dados!A153,8)+1))</f>
        <v>AlchemyManual</v>
      </c>
      <c r="D153" t="str">
        <f>RIGHT(Dados!A153,A153-SEARCH(C153,Dados!A153)-LEN(C153))</f>
        <v>3 0 9 12 20 0 0 0 0 0 0 6 92 100 1 -1 0 0 0 0 0 -1 42 0 -1 -1 -1</v>
      </c>
      <c r="E153">
        <f t="shared" si="3"/>
        <v>26</v>
      </c>
    </row>
    <row r="154" spans="1:5" x14ac:dyDescent="0.3">
      <c r="A154">
        <f>LEN(Dados!A154)</f>
        <v>91</v>
      </c>
      <c r="B154" t="str">
        <f>MID(Dados!A154,SEARCH("=",Dados!A154)+2,(((SEARCH(" ",Dados!A154,SEARCH("=",Dados!A154)+2))-(SEARCH("=",Dados!A154)+2))))</f>
        <v>227</v>
      </c>
      <c r="C154" t="str">
        <f>MID(Dados!A154,SEARCH(" ",Dados!A154,8)+1,(SEARCH(" ",Dados!A154,12))-(SEARCH(" ",Dados!A154,8)+1))</f>
        <v>AlchemyBowl</v>
      </c>
      <c r="D154" t="str">
        <f>RIGHT(Dados!A154,A154-SEARCH(C154,Dados!A154)-LEN(C154))</f>
        <v>10 0 0 1 0 0 0 0 0 300 0 6 55 1000 700 -1 0 0 0 0 0 -1 21 0 -1 -1 -1</v>
      </c>
      <c r="E154">
        <f t="shared" si="3"/>
        <v>26</v>
      </c>
    </row>
    <row r="155" spans="1:5" x14ac:dyDescent="0.3">
      <c r="A155">
        <f>LEN(Dados!A155)</f>
        <v>87</v>
      </c>
      <c r="B155" t="str">
        <f>MID(Dados!A155,SEARCH("=",Dados!A155)+2,(((SEARCH(" ",Dados!A155,SEARCH("=",Dados!A155)+2))-(SEARCH("=",Dados!A155)+2))))</f>
        <v>230</v>
      </c>
      <c r="C155" t="str">
        <f>MID(Dados!A155,SEARCH(" ",Dados!A155,8)+1,(SEARCH(" ",Dados!A155,12))-(SEARCH(" ",Dados!A155,8)+1))</f>
        <v>MiningManual</v>
      </c>
      <c r="D155" t="str">
        <f>RIGHT(Dados!A155,A155-SEARCH(C155,Dados!A155)-LEN(C155))</f>
        <v>3 0 9 0 20 0 0 0 0 0 0 6 92 100 1 -1 0 0 0 0 0 -1 42 0 -1 -1 -1</v>
      </c>
      <c r="E155">
        <f t="shared" si="3"/>
        <v>26</v>
      </c>
    </row>
    <row r="156" spans="1:5" x14ac:dyDescent="0.3">
      <c r="A156">
        <f>LEN(Dados!A156)</f>
        <v>86</v>
      </c>
      <c r="B156" t="str">
        <f>MID(Dados!A156,SEARCH("=",Dados!A156)+2,(((SEARCH(" ",Dados!A156,SEARCH("=",Dados!A156)+2))-(SEARCH("=",Dados!A156)+2))))</f>
        <v>231</v>
      </c>
      <c r="C156" t="str">
        <f>MID(Dados!A156,SEARCH(" ",Dados!A156,8)+1,(SEARCH(" ",Dados!A156,12))-(SEARCH(" ",Dados!A156,8)+1))</f>
        <v>PickAxe</v>
      </c>
      <c r="D156" t="str">
        <f>RIGHT(Dados!A156,A156-SEARCH(C156,Dados!A156)-LEN(C156))</f>
        <v>1 8 1 2 4 0 2 4 0 1000 0 15 5 500 1000 25 10 0 0 0 0 0 1 0 -1 -1 -1</v>
      </c>
      <c r="E156">
        <f t="shared" si="3"/>
        <v>26</v>
      </c>
    </row>
    <row r="157" spans="1:5" x14ac:dyDescent="0.3">
      <c r="A157">
        <f>LEN(Dados!A157)</f>
        <v>81</v>
      </c>
      <c r="B157" t="str">
        <f>MID(Dados!A157,SEARCH("=",Dados!A157)+2,(((SEARCH(" ",Dados!A157,SEARCH("=",Dados!A157)+2))-(SEARCH("=",Dados!A157)+2))))</f>
        <v>232</v>
      </c>
      <c r="C157" t="str">
        <f>MID(Dados!A157,SEARCH(" ",Dados!A157,8)+1,(SEARCH(" ",Dados!A157,12))-(SEARCH(" ",Dados!A157,8)+1))</f>
        <v>Hoe</v>
      </c>
      <c r="D157" t="str">
        <f>RIGHT(Dados!A157,A157-SEARCH(C157,Dados!A157)-LEN(C157))</f>
        <v>1 8 1 2 4 0 2 4 0 800 0 15 9 300 1000 27 5 0 0 0 0 -1 1 0 -1 -1 -1</v>
      </c>
      <c r="E157">
        <f t="shared" si="3"/>
        <v>26</v>
      </c>
    </row>
    <row r="158" spans="1:5" x14ac:dyDescent="0.3">
      <c r="A158">
        <f>LEN(Dados!A158)</f>
        <v>95</v>
      </c>
      <c r="B158" t="str">
        <f>MID(Dados!A158,SEARCH("=",Dados!A158)+2,(((SEARCH(" ",Dados!A158,SEARCH("=",Dados!A158)+2))-(SEARCH("=",Dados!A158)+2))))</f>
        <v>235</v>
      </c>
      <c r="C158" t="str">
        <f>MID(Dados!A158,SEARCH(" ",Dados!A158,8)+1,(SEARCH(" ",Dados!A158,12))-(SEARCH(" ",Dados!A158,8)+1))</f>
        <v>ManufacturingManual</v>
      </c>
      <c r="D158" t="str">
        <f>RIGHT(Dados!A158,A158-SEARCH(C158,Dados!A158)-LEN(C158))</f>
        <v>3 0 9 13 20 0 0 0 0 0 0 6 92 100 1 -1 0 0 0 0 0 -1 42 0 -1 -1 -1</v>
      </c>
      <c r="E158">
        <f t="shared" si="3"/>
        <v>26</v>
      </c>
    </row>
    <row r="159" spans="1:5" x14ac:dyDescent="0.3">
      <c r="A159">
        <f>LEN(Dados!A159)</f>
        <v>101</v>
      </c>
      <c r="B159" t="str">
        <f>MID(Dados!A159,SEARCH("=",Dados!A159)+2,(((SEARCH(" ",Dados!A159,SEARCH("=",Dados!A159)+2))-(SEARCH("=",Dados!A159)+2))))</f>
        <v>236</v>
      </c>
      <c r="C159" t="str">
        <f>MID(Dados!A159,SEARCH(" ",Dados!A159,8)+1,(SEARCH(" ",Dados!A159,12))-(SEARCH(" ",Dados!A159,8)+1))</f>
        <v>ManufacturingHammer</v>
      </c>
      <c r="D159" t="str">
        <f>RIGHT(Dados!A159,A159-SEARCH(C159,Dados!A159)-LEN(C159))</f>
        <v>10 0 0 1 0 0 0 0 0 300 0 6 113 1500 2000 -1 0 0 0 0 0 -1 21 0 -1 -1 -1</v>
      </c>
      <c r="E159">
        <f t="shared" si="3"/>
        <v>26</v>
      </c>
    </row>
    <row r="160" spans="1:5" x14ac:dyDescent="0.3">
      <c r="A160">
        <f>LEN(Dados!A160)</f>
        <v>94</v>
      </c>
      <c r="B160" t="str">
        <f>MID(Dados!A160,SEARCH("=",Dados!A160)+2,(((SEARCH(" ",Dados!A160,SEARCH("=",Dados!A160)+2))-(SEARCH("=",Dados!A160)+2))))</f>
        <v>237</v>
      </c>
      <c r="C160" t="str">
        <f>MID(Dados!A160,SEARCH(" ",Dados!A160,8)+1,(SEARCH(" ",Dados!A160,12))-(SEARCH(" ",Dados!A160,8)+1))</f>
        <v>HammerAttackManual</v>
      </c>
      <c r="D160" t="str">
        <f>RIGHT(Dados!A160,A160-SEARCH(C160,Dados!A160)-LEN(C160))</f>
        <v>3 0 9 14 20 0 0 0 0 0 0 6 92 100 1 -1 0 0 0 0 0 -1 42 0 -1 -1 -1</v>
      </c>
      <c r="E160">
        <f t="shared" si="3"/>
        <v>26</v>
      </c>
    </row>
    <row r="161" spans="1:5" x14ac:dyDescent="0.3">
      <c r="A161">
        <f>LEN(Dados!A161)</f>
        <v>96</v>
      </c>
      <c r="B161" t="str">
        <f>MID(Dados!A161,SEARCH("=",Dados!A161)+2,(((SEARCH(" ",Dados!A161,SEARCH("=",Dados!A161)+2))-(SEARCH("=",Dados!A161)+2))))</f>
        <v>245</v>
      </c>
      <c r="C161" t="str">
        <f>MID(Dados!A161,SEARCH(" ",Dados!A161,8)+1,(SEARCH(" ",Dados!A161,12))-(SEARCH(" ",Dados!A161,8)+1))</f>
        <v>AresdenFlag(Master)</v>
      </c>
      <c r="D161" t="str">
        <f>RIGHT(Dados!A161,A161-SEARCH(C161,Dados!A161)-LEN(C161))</f>
        <v>11 0 16 1 1 0 0 0 0 1 0 6 56 -100 1 -1 0 0 0 0 0 -1 42 0 -1 -1 -1</v>
      </c>
      <c r="E161">
        <f t="shared" si="3"/>
        <v>26</v>
      </c>
    </row>
    <row r="162" spans="1:5" x14ac:dyDescent="0.3">
      <c r="A162">
        <f>LEN(Dados!A162)</f>
        <v>95</v>
      </c>
      <c r="B162" t="str">
        <f>MID(Dados!A162,SEARCH("=",Dados!A162)+2,(((SEARCH(" ",Dados!A162,SEARCH("=",Dados!A162)+2))-(SEARCH("=",Dados!A162)+2))))</f>
        <v>246</v>
      </c>
      <c r="C162" t="str">
        <f>MID(Dados!A162,SEARCH(" ",Dados!A162,8)+1,(SEARCH(" ",Dados!A162,12))-(SEARCH(" ",Dados!A162,8)+1))</f>
        <v>ElvineFlag(Master)</v>
      </c>
      <c r="D162" t="str">
        <f>RIGHT(Dados!A162,A162-SEARCH(C162,Dados!A162)-LEN(C162))</f>
        <v>11 0 16 2 1 0 0 0 0 1 0 6 57 -100 1 -1 0 0 0 0 0 -1 42 0 -1 -1 -1</v>
      </c>
      <c r="E162">
        <f t="shared" si="3"/>
        <v>26</v>
      </c>
    </row>
    <row r="163" spans="1:5" x14ac:dyDescent="0.3">
      <c r="A163">
        <f>LEN(Dados!A163)</f>
        <v>88</v>
      </c>
      <c r="B163" t="str">
        <f>MID(Dados!A163,SEARCH("=",Dados!A163)+2,(((SEARCH(" ",Dados!A163,SEARCH("=",Dados!A163)+2))-(SEARCH("=",Dados!A163)+2))))</f>
        <v>247</v>
      </c>
      <c r="C163" t="str">
        <f>MID(Dados!A163,SEARCH(" ",Dados!A163,8)+1,(SEARCH(" ",Dados!A163,12))-(SEARCH(" ",Dados!A163,8)+1))</f>
        <v>AresdenFlag</v>
      </c>
      <c r="D163" t="str">
        <f>RIGHT(Dados!A163,A163-SEARCH(C163,Dados!A163)-LEN(C163))</f>
        <v>11 0 16 1 0 0 0 0 0 1 0 6 56 -100 1 -1 0 0 0 0 0 -1 42 0 -1 -1 -1</v>
      </c>
      <c r="E163">
        <f t="shared" si="3"/>
        <v>26</v>
      </c>
    </row>
    <row r="164" spans="1:5" x14ac:dyDescent="0.3">
      <c r="A164">
        <f>LEN(Dados!A164)</f>
        <v>87</v>
      </c>
      <c r="B164" t="str">
        <f>MID(Dados!A164,SEARCH("=",Dados!A164)+2,(((SEARCH(" ",Dados!A164,SEARCH("=",Dados!A164)+2))-(SEARCH("=",Dados!A164)+2))))</f>
        <v>248</v>
      </c>
      <c r="C164" t="str">
        <f>MID(Dados!A164,SEARCH(" ",Dados!A164,8)+1,(SEARCH(" ",Dados!A164,12))-(SEARCH(" ",Dados!A164,8)+1))</f>
        <v>ElvineFlag</v>
      </c>
      <c r="D164" t="str">
        <f>RIGHT(Dados!A164,A164-SEARCH(C164,Dados!A164)-LEN(C164))</f>
        <v>11 0 16 2 0 0 0 0 0 1 0 6 57 -100 1 -1 0 0 0 0 0 -1 42 0 -1 -1 -1</v>
      </c>
      <c r="E164">
        <f t="shared" si="3"/>
        <v>26</v>
      </c>
    </row>
    <row r="165" spans="1:5" x14ac:dyDescent="0.3">
      <c r="A165">
        <f>LEN(Dados!A165)</f>
        <v>92</v>
      </c>
      <c r="B165" t="str">
        <f>MID(Dados!A165,SEARCH("=",Dados!A165)+2,(((SEARCH(" ",Dados!A165,SEARCH("=",Dados!A165)+2))-(SEARCH("=",Dados!A165)+2))))</f>
        <v>250</v>
      </c>
      <c r="C165" t="str">
        <f>MID(Dados!A165,SEARCH(" ",Dados!A165,8)+1,(SEARCH(" ",Dados!A165,12))-(SEARCH(" ",Dados!A165,8)+1))</f>
        <v>WandAttackManual</v>
      </c>
      <c r="D165" t="str">
        <f>RIGHT(Dados!A165,A165-SEARCH(C165,Dados!A165)-LEN(C165))</f>
        <v>3 0 9 21 20 0 0 0 0 0 0 6 92 100 1 -1 0 0 0 0 0 -1 42 0 -1 -1 -1</v>
      </c>
      <c r="E165">
        <f t="shared" si="3"/>
        <v>26</v>
      </c>
    </row>
  </sheetData>
  <sheetProtection algorithmName="SHA-512" hashValue="JKnvEoGY8oHexXPX4L5+rEHY/zWv5yWJA7S2h6J5I/L0jegRNWBrMhDA+GHwKyJGLSYBzlP2/fF0lOi5OaI/Ww==" saltValue="oMmceNaCgmseVGg6uXtvEg==" spinCount="100000" sheet="1" objects="1" scenarios="1"/>
  <pageMargins left="0.511811024" right="0.511811024" top="0.78740157499999996" bottom="0.78740157499999996" header="0.31496062000000002" footer="0.3149606200000000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J10"/>
  <sheetViews>
    <sheetView showGridLines="0" workbookViewId="0">
      <selection activeCell="H6" sqref="H6"/>
    </sheetView>
  </sheetViews>
  <sheetFormatPr baseColWidth="10" defaultColWidth="8.88671875" defaultRowHeight="14.4" x14ac:dyDescent="0.3"/>
  <cols>
    <col min="1" max="1" width="1.88671875" customWidth="1"/>
    <col min="2" max="2" width="4.6640625" bestFit="1" customWidth="1"/>
    <col min="3" max="3" width="4" style="3" bestFit="1" customWidth="1"/>
    <col min="4" max="4" width="11.44140625" bestFit="1" customWidth="1"/>
    <col min="5" max="5" width="6" bestFit="1" customWidth="1"/>
    <col min="7" max="7" width="4.6640625" style="3" bestFit="1" customWidth="1"/>
    <col min="8" max="8" width="4" style="3" bestFit="1" customWidth="1"/>
    <col min="9" max="9" width="11.44140625" bestFit="1" customWidth="1"/>
    <col min="10" max="10" width="5" bestFit="1" customWidth="1"/>
    <col min="11" max="11" width="2.44140625" customWidth="1"/>
  </cols>
  <sheetData>
    <row r="1" spans="2:10" ht="9.75" customHeight="1" x14ac:dyDescent="0.3"/>
    <row r="2" spans="2:10" x14ac:dyDescent="0.3">
      <c r="B2" t="s">
        <v>324</v>
      </c>
      <c r="C2" s="3">
        <v>310</v>
      </c>
      <c r="D2" t="s">
        <v>325</v>
      </c>
      <c r="E2">
        <f>70+((C2-1)*3)</f>
        <v>997</v>
      </c>
    </row>
    <row r="4" spans="2:10" x14ac:dyDescent="0.3">
      <c r="B4" s="42" t="s">
        <v>326</v>
      </c>
      <c r="C4" s="43"/>
      <c r="D4" s="43"/>
      <c r="E4" s="44"/>
      <c r="G4" s="42" t="s">
        <v>327</v>
      </c>
      <c r="H4" s="43"/>
      <c r="I4" s="43"/>
      <c r="J4" s="44"/>
    </row>
    <row r="5" spans="2:10" x14ac:dyDescent="0.3">
      <c r="B5" s="33" t="s">
        <v>328</v>
      </c>
      <c r="C5" s="3">
        <v>300</v>
      </c>
      <c r="D5" s="7" t="s">
        <v>329</v>
      </c>
      <c r="E5" s="34">
        <f>$E$2-SUM(C5:C10)</f>
        <v>0</v>
      </c>
      <c r="G5" s="33" t="s">
        <v>328</v>
      </c>
      <c r="H5" s="3">
        <v>40</v>
      </c>
      <c r="I5" s="7" t="s">
        <v>329</v>
      </c>
      <c r="J5" s="34">
        <f>$E$2-SUM(H5:H10)</f>
        <v>127</v>
      </c>
    </row>
    <row r="6" spans="2:10" x14ac:dyDescent="0.3">
      <c r="B6" s="33" t="s">
        <v>330</v>
      </c>
      <c r="C6" s="3">
        <v>500</v>
      </c>
      <c r="E6" s="34"/>
      <c r="G6" s="33" t="s">
        <v>330</v>
      </c>
      <c r="H6" s="3">
        <v>10</v>
      </c>
      <c r="J6" s="34"/>
    </row>
    <row r="7" spans="2:10" x14ac:dyDescent="0.3">
      <c r="B7" s="33" t="s">
        <v>331</v>
      </c>
      <c r="C7" s="3">
        <v>39</v>
      </c>
      <c r="D7" s="3" t="s">
        <v>246</v>
      </c>
      <c r="E7" s="35">
        <f>ROUND((C9*3)+($C$2*2)+(C5/2),0)</f>
        <v>1184</v>
      </c>
      <c r="G7" s="33" t="s">
        <v>331</v>
      </c>
      <c r="H7" s="3">
        <v>300</v>
      </c>
      <c r="I7" s="3" t="s">
        <v>246</v>
      </c>
      <c r="J7" s="35">
        <f>ROUND((H9*3)+($C$2*2)+(H5/2),0)</f>
        <v>850</v>
      </c>
    </row>
    <row r="8" spans="2:10" x14ac:dyDescent="0.3">
      <c r="B8" s="33" t="s">
        <v>332</v>
      </c>
      <c r="C8" s="3">
        <v>10</v>
      </c>
      <c r="D8" s="3" t="s">
        <v>247</v>
      </c>
      <c r="E8" s="36">
        <f>ROUND((C8*2)+($C$2*2)+(C7/2),0)</f>
        <v>660</v>
      </c>
      <c r="G8" s="33" t="s">
        <v>332</v>
      </c>
      <c r="H8" s="3">
        <v>440</v>
      </c>
      <c r="I8" s="3" t="s">
        <v>247</v>
      </c>
      <c r="J8" s="36">
        <f>ROUND((H8*2)+($C$2*2)+(H7/2),0)</f>
        <v>1650</v>
      </c>
    </row>
    <row r="9" spans="2:10" x14ac:dyDescent="0.3">
      <c r="B9" s="33" t="s">
        <v>333</v>
      </c>
      <c r="C9" s="3">
        <v>138</v>
      </c>
      <c r="D9" s="3" t="s">
        <v>245</v>
      </c>
      <c r="E9" s="37">
        <f>ROUND(($C$2+C5)*2,0)</f>
        <v>1220</v>
      </c>
      <c r="G9" s="33" t="s">
        <v>333</v>
      </c>
      <c r="H9" s="3">
        <v>70</v>
      </c>
      <c r="I9" s="3" t="s">
        <v>245</v>
      </c>
      <c r="J9" s="37">
        <f>ROUND(($C$2+H5)*2,0)</f>
        <v>700</v>
      </c>
    </row>
    <row r="10" spans="2:10" x14ac:dyDescent="0.3">
      <c r="B10" s="38" t="s">
        <v>334</v>
      </c>
      <c r="C10" s="39">
        <v>10</v>
      </c>
      <c r="D10" s="40"/>
      <c r="E10" s="41"/>
      <c r="G10" s="38" t="s">
        <v>334</v>
      </c>
      <c r="H10" s="39">
        <v>10</v>
      </c>
      <c r="I10" s="40"/>
      <c r="J10" s="41"/>
    </row>
  </sheetData>
  <mergeCells count="2">
    <mergeCell ref="B4:E4"/>
    <mergeCell ref="G4:J4"/>
  </mergeCells>
  <pageMargins left="0.511811024" right="0.511811024" top="0.78740157499999996" bottom="0.78740157499999996" header="0.31496062000000002" footer="0.3149606200000000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3"/>
  <dimension ref="B1:AE30"/>
  <sheetViews>
    <sheetView showGridLines="0" zoomScale="80" zoomScaleNormal="80" workbookViewId="0">
      <selection activeCell="D3" sqref="D3"/>
    </sheetView>
  </sheetViews>
  <sheetFormatPr baseColWidth="10" defaultColWidth="8.88671875" defaultRowHeight="14.4" x14ac:dyDescent="0.3"/>
  <cols>
    <col min="1" max="2" width="3.109375" customWidth="1"/>
    <col min="3" max="3" width="5.33203125" style="3" bestFit="1" customWidth="1"/>
    <col min="4" max="4" width="19.33203125" customWidth="1"/>
    <col min="5" max="5" width="2" bestFit="1" customWidth="1"/>
    <col min="6" max="6" width="7.88671875" style="3" customWidth="1"/>
    <col min="7" max="7" width="1.44140625" customWidth="1"/>
    <col min="8" max="8" width="9.6640625" bestFit="1" customWidth="1"/>
    <col min="9" max="9" width="1.33203125" customWidth="1"/>
    <col min="10" max="10" width="9.33203125" style="3" customWidth="1"/>
    <col min="11" max="11" width="20.6640625" customWidth="1"/>
    <col min="12" max="12" width="3.44140625" bestFit="1" customWidth="1"/>
    <col min="13" max="13" width="8" customWidth="1"/>
    <col min="14" max="14" width="18.6640625" customWidth="1"/>
    <col min="15" max="15" width="2" bestFit="1" customWidth="1"/>
    <col min="16" max="16" width="9.109375" customWidth="1"/>
    <col min="17" max="17" width="1" customWidth="1"/>
    <col min="19" max="19" width="1.109375" customWidth="1"/>
    <col min="20" max="20" width="10" customWidth="1"/>
    <col min="21" max="21" width="17.44140625" customWidth="1"/>
    <col min="22" max="22" width="2.88671875" customWidth="1"/>
    <col min="24" max="24" width="21.44140625" customWidth="1"/>
    <col min="25" max="25" width="2.33203125" bestFit="1" customWidth="1"/>
    <col min="27" max="27" width="1.88671875" customWidth="1"/>
    <col min="29" max="29" width="2.33203125" customWidth="1"/>
  </cols>
  <sheetData>
    <row r="1" spans="2:30" ht="15" customHeight="1" x14ac:dyDescent="0.3">
      <c r="D1" s="45" t="s">
        <v>268</v>
      </c>
      <c r="E1" s="45"/>
      <c r="F1" s="45"/>
      <c r="N1" s="45" t="s">
        <v>267</v>
      </c>
      <c r="O1" s="45"/>
      <c r="P1" s="45"/>
    </row>
    <row r="2" spans="2:30" x14ac:dyDescent="0.3">
      <c r="D2" s="8" t="s">
        <v>277</v>
      </c>
      <c r="E2" s="8"/>
      <c r="F2" s="9"/>
      <c r="G2" s="10"/>
      <c r="H2" s="14" t="s">
        <v>295</v>
      </c>
      <c r="I2" s="10"/>
      <c r="J2" s="27">
        <v>30000</v>
      </c>
      <c r="K2" s="10"/>
      <c r="L2" s="10"/>
      <c r="M2" s="11"/>
      <c r="N2" s="8" t="s">
        <v>276</v>
      </c>
      <c r="O2" s="8"/>
      <c r="P2" s="9"/>
      <c r="R2" s="14" t="s">
        <v>295</v>
      </c>
      <c r="S2" s="10"/>
      <c r="T2" s="27">
        <v>30000</v>
      </c>
    </row>
    <row r="3" spans="2:30" x14ac:dyDescent="0.3">
      <c r="B3" t="s">
        <v>226</v>
      </c>
      <c r="C3" s="3" t="s">
        <v>227</v>
      </c>
      <c r="D3" s="17" t="s">
        <v>209</v>
      </c>
      <c r="E3" s="18" t="s">
        <v>210</v>
      </c>
      <c r="F3" s="19">
        <v>30000</v>
      </c>
      <c r="H3" t="s">
        <v>224</v>
      </c>
      <c r="J3" s="3" t="s">
        <v>225</v>
      </c>
      <c r="K3" t="s">
        <v>293</v>
      </c>
      <c r="M3" s="3" t="s">
        <v>269</v>
      </c>
      <c r="N3" s="17" t="s">
        <v>228</v>
      </c>
      <c r="O3" s="18" t="s">
        <v>210</v>
      </c>
      <c r="P3" s="19">
        <v>30000</v>
      </c>
      <c r="R3" t="s">
        <v>224</v>
      </c>
      <c r="T3" s="3" t="s">
        <v>225</v>
      </c>
      <c r="U3" t="s">
        <v>293</v>
      </c>
    </row>
    <row r="4" spans="2:30" x14ac:dyDescent="0.3">
      <c r="B4" s="3">
        <v>7</v>
      </c>
      <c r="C4" s="3">
        <v>3</v>
      </c>
      <c r="D4" s="20" t="s">
        <v>211</v>
      </c>
      <c r="E4" s="21" t="s">
        <v>210</v>
      </c>
      <c r="F4" s="22">
        <f>J4</f>
        <v>10000</v>
      </c>
      <c r="H4" s="26">
        <v>0.33333333333333331</v>
      </c>
      <c r="J4" s="3">
        <f>ROUND($J$2*H4,0)</f>
        <v>10000</v>
      </c>
      <c r="K4" s="6" t="str">
        <f>IF(K3&lt;&gt;"Ok","Drop null here",IF(J5&gt;$F$3,"End of percentage here","Ok"))</f>
        <v>Ok</v>
      </c>
      <c r="M4" s="3">
        <v>7</v>
      </c>
      <c r="N4" s="20" t="s">
        <v>229</v>
      </c>
      <c r="O4" s="21" t="s">
        <v>210</v>
      </c>
      <c r="P4" s="22">
        <f>T4</f>
        <v>10000</v>
      </c>
      <c r="R4" s="26">
        <f>H4</f>
        <v>0.33333333333333331</v>
      </c>
      <c r="T4" s="3">
        <f>ROUND($T$2*R4,0)</f>
        <v>10000</v>
      </c>
      <c r="U4" s="6" t="str">
        <f>IF(U3&lt;&gt;"Ok","Drop null here",IF(T5&gt;$P$3,"End of percentage here","Ok"))</f>
        <v>Ok</v>
      </c>
      <c r="W4" s="46" t="s">
        <v>296</v>
      </c>
      <c r="X4" s="46"/>
      <c r="Y4" s="46"/>
      <c r="Z4" s="46"/>
      <c r="AA4" s="46"/>
      <c r="AB4" s="46"/>
      <c r="AC4" s="46"/>
      <c r="AD4" s="46"/>
    </row>
    <row r="5" spans="2:30" x14ac:dyDescent="0.3">
      <c r="B5" s="3">
        <f>B4+7</f>
        <v>14</v>
      </c>
      <c r="C5" s="3">
        <f>C4+3</f>
        <v>6</v>
      </c>
      <c r="D5" s="20" t="s">
        <v>212</v>
      </c>
      <c r="E5" s="21" t="s">
        <v>210</v>
      </c>
      <c r="F5" s="22">
        <f t="shared" ref="F5:F16" si="0">J5</f>
        <v>17400</v>
      </c>
      <c r="H5" s="26">
        <v>0.24666666666666667</v>
      </c>
      <c r="J5" s="3">
        <f>IF(J4&gt;=$J$2,$J$2+1,ROUND(J4+$J$2*H5,0))</f>
        <v>17400</v>
      </c>
      <c r="K5" s="6" t="str">
        <f t="shared" ref="K5:K16" si="1">IF(K4&lt;&gt;"Ok","Drop null here",IF(J6&gt;$F$3,"End of percentage here","Ok"))</f>
        <v>Ok</v>
      </c>
      <c r="M5" s="3">
        <f>M4+7</f>
        <v>14</v>
      </c>
      <c r="N5" s="20" t="s">
        <v>230</v>
      </c>
      <c r="O5" s="21" t="s">
        <v>210</v>
      </c>
      <c r="P5" s="22">
        <f t="shared" ref="P5:P16" si="2">T5</f>
        <v>17400</v>
      </c>
      <c r="R5" s="26">
        <f t="shared" ref="R5:R15" si="3">H5</f>
        <v>0.24666666666666667</v>
      </c>
      <c r="T5" s="3">
        <f>IF(T4&gt;=$T$2,$T$2+1,ROUND(T4+$T$2*R5,0))</f>
        <v>17400</v>
      </c>
      <c r="U5" s="6" t="str">
        <f t="shared" ref="U5:U16" si="4">IF(U4&lt;&gt;"Ok","Drop null here",IF(T6&gt;$P$3,"End of percentage here","Ok"))</f>
        <v>Ok</v>
      </c>
      <c r="W5" s="46"/>
      <c r="X5" s="46"/>
      <c r="Y5" s="46"/>
      <c r="Z5" s="46"/>
      <c r="AA5" s="46"/>
      <c r="AB5" s="46"/>
      <c r="AC5" s="46"/>
      <c r="AD5" s="46"/>
    </row>
    <row r="6" spans="2:30" x14ac:dyDescent="0.3">
      <c r="B6" s="3">
        <f t="shared" ref="B6:B16" si="5">B5+7</f>
        <v>21</v>
      </c>
      <c r="C6" s="3">
        <f t="shared" ref="C6:C16" si="6">C5+3</f>
        <v>9</v>
      </c>
      <c r="D6" s="20" t="s">
        <v>213</v>
      </c>
      <c r="E6" s="21" t="s">
        <v>210</v>
      </c>
      <c r="F6" s="22">
        <f t="shared" si="0"/>
        <v>22400</v>
      </c>
      <c r="H6" s="26">
        <v>0.16666666666666666</v>
      </c>
      <c r="J6" s="3">
        <f t="shared" ref="J6:J16" si="7">IF(J5&gt;=$J$2,$J$2+1,ROUND(J5+$J$2*H6,0))</f>
        <v>22400</v>
      </c>
      <c r="K6" s="6" t="str">
        <f t="shared" si="1"/>
        <v>Ok</v>
      </c>
      <c r="M6" s="3">
        <f t="shared" ref="M6:M16" si="8">M5+7</f>
        <v>21</v>
      </c>
      <c r="N6" s="20" t="s">
        <v>231</v>
      </c>
      <c r="O6" s="21" t="s">
        <v>210</v>
      </c>
      <c r="P6" s="22">
        <f t="shared" si="2"/>
        <v>22400</v>
      </c>
      <c r="R6" s="26">
        <f t="shared" si="3"/>
        <v>0.16666666666666666</v>
      </c>
      <c r="T6" s="3">
        <f t="shared" ref="T6:T16" si="9">IF(T5&gt;=$T$2,$T$2+1,ROUND(T5+$T$2*R6,0))</f>
        <v>22400</v>
      </c>
      <c r="U6" s="6" t="str">
        <f t="shared" si="4"/>
        <v>Ok</v>
      </c>
      <c r="W6" s="46"/>
      <c r="X6" s="46"/>
      <c r="Y6" s="46"/>
      <c r="Z6" s="46"/>
      <c r="AA6" s="46"/>
      <c r="AB6" s="46"/>
      <c r="AC6" s="46"/>
      <c r="AD6" s="46"/>
    </row>
    <row r="7" spans="2:30" x14ac:dyDescent="0.3">
      <c r="B7" s="3">
        <f t="shared" si="5"/>
        <v>28</v>
      </c>
      <c r="C7" s="3">
        <f t="shared" si="6"/>
        <v>12</v>
      </c>
      <c r="D7" s="20" t="s">
        <v>214</v>
      </c>
      <c r="E7" s="21" t="s">
        <v>210</v>
      </c>
      <c r="F7" s="22">
        <f t="shared" si="0"/>
        <v>25400</v>
      </c>
      <c r="H7" s="26">
        <v>0.1</v>
      </c>
      <c r="J7" s="3">
        <f t="shared" si="7"/>
        <v>25400</v>
      </c>
      <c r="K7" s="6" t="str">
        <f t="shared" si="1"/>
        <v>Ok</v>
      </c>
      <c r="M7" s="3">
        <f t="shared" si="8"/>
        <v>28</v>
      </c>
      <c r="N7" s="20" t="s">
        <v>232</v>
      </c>
      <c r="O7" s="21" t="s">
        <v>210</v>
      </c>
      <c r="P7" s="22">
        <f t="shared" si="2"/>
        <v>25400</v>
      </c>
      <c r="R7" s="26">
        <f t="shared" si="3"/>
        <v>0.1</v>
      </c>
      <c r="T7" s="3">
        <f t="shared" si="9"/>
        <v>25400</v>
      </c>
      <c r="U7" s="6" t="str">
        <f t="shared" si="4"/>
        <v>Ok</v>
      </c>
      <c r="W7" s="46"/>
      <c r="X7" s="46"/>
      <c r="Y7" s="46"/>
      <c r="Z7" s="46"/>
      <c r="AA7" s="46"/>
      <c r="AB7" s="46"/>
      <c r="AC7" s="46"/>
      <c r="AD7" s="46"/>
    </row>
    <row r="8" spans="2:30" x14ac:dyDescent="0.3">
      <c r="B8" s="3">
        <f t="shared" si="5"/>
        <v>35</v>
      </c>
      <c r="C8" s="3">
        <f t="shared" si="6"/>
        <v>15</v>
      </c>
      <c r="D8" s="20" t="s">
        <v>215</v>
      </c>
      <c r="E8" s="21" t="s">
        <v>210</v>
      </c>
      <c r="F8" s="22">
        <f t="shared" si="0"/>
        <v>27400</v>
      </c>
      <c r="H8" s="26">
        <v>6.6666666666666666E-2</v>
      </c>
      <c r="J8" s="3">
        <f t="shared" si="7"/>
        <v>27400</v>
      </c>
      <c r="K8" s="6" t="str">
        <f t="shared" si="1"/>
        <v>Ok</v>
      </c>
      <c r="M8" s="3">
        <f t="shared" si="8"/>
        <v>35</v>
      </c>
      <c r="N8" s="20" t="s">
        <v>233</v>
      </c>
      <c r="O8" s="21" t="s">
        <v>210</v>
      </c>
      <c r="P8" s="22">
        <f t="shared" si="2"/>
        <v>27400</v>
      </c>
      <c r="R8" s="26">
        <f t="shared" si="3"/>
        <v>6.6666666666666666E-2</v>
      </c>
      <c r="T8" s="3">
        <f t="shared" si="9"/>
        <v>27400</v>
      </c>
      <c r="U8" s="6" t="str">
        <f t="shared" si="4"/>
        <v>Ok</v>
      </c>
      <c r="W8" s="46"/>
      <c r="X8" s="46"/>
      <c r="Y8" s="46"/>
      <c r="Z8" s="46"/>
      <c r="AA8" s="46"/>
      <c r="AB8" s="46"/>
      <c r="AC8" s="46"/>
      <c r="AD8" s="46"/>
    </row>
    <row r="9" spans="2:30" x14ac:dyDescent="0.3">
      <c r="B9" s="3">
        <f t="shared" si="5"/>
        <v>42</v>
      </c>
      <c r="C9" s="3">
        <f t="shared" si="6"/>
        <v>18</v>
      </c>
      <c r="D9" s="20" t="s">
        <v>216</v>
      </c>
      <c r="E9" s="21" t="s">
        <v>210</v>
      </c>
      <c r="F9" s="22">
        <f t="shared" si="0"/>
        <v>28400</v>
      </c>
      <c r="H9" s="26">
        <v>3.3333333333333333E-2</v>
      </c>
      <c r="J9" s="3">
        <f t="shared" si="7"/>
        <v>28400</v>
      </c>
      <c r="K9" s="6" t="str">
        <f t="shared" si="1"/>
        <v>Ok</v>
      </c>
      <c r="M9" s="3">
        <f t="shared" si="8"/>
        <v>42</v>
      </c>
      <c r="N9" s="20" t="s">
        <v>234</v>
      </c>
      <c r="O9" s="21" t="s">
        <v>210</v>
      </c>
      <c r="P9" s="22">
        <f t="shared" si="2"/>
        <v>28400</v>
      </c>
      <c r="R9" s="26">
        <f t="shared" si="3"/>
        <v>3.3333333333333333E-2</v>
      </c>
      <c r="T9" s="3">
        <f t="shared" si="9"/>
        <v>28400</v>
      </c>
      <c r="U9" s="6" t="str">
        <f t="shared" si="4"/>
        <v>Ok</v>
      </c>
      <c r="W9" s="46"/>
      <c r="X9" s="46"/>
      <c r="Y9" s="46"/>
      <c r="Z9" s="46"/>
      <c r="AA9" s="46"/>
      <c r="AB9" s="46"/>
      <c r="AC9" s="46"/>
      <c r="AD9" s="46"/>
    </row>
    <row r="10" spans="2:30" x14ac:dyDescent="0.3">
      <c r="B10" s="3">
        <f t="shared" si="5"/>
        <v>49</v>
      </c>
      <c r="C10" s="3">
        <f t="shared" si="6"/>
        <v>21</v>
      </c>
      <c r="D10" s="20" t="s">
        <v>217</v>
      </c>
      <c r="E10" s="21" t="s">
        <v>210</v>
      </c>
      <c r="F10" s="22">
        <f t="shared" si="0"/>
        <v>28900</v>
      </c>
      <c r="H10" s="26">
        <v>1.6666666666666666E-2</v>
      </c>
      <c r="J10" s="3">
        <f t="shared" si="7"/>
        <v>28900</v>
      </c>
      <c r="K10" s="6" t="str">
        <f t="shared" si="1"/>
        <v>Ok</v>
      </c>
      <c r="M10" s="3">
        <f t="shared" si="8"/>
        <v>49</v>
      </c>
      <c r="N10" s="20" t="s">
        <v>235</v>
      </c>
      <c r="O10" s="21" t="s">
        <v>210</v>
      </c>
      <c r="P10" s="22">
        <f t="shared" si="2"/>
        <v>28900</v>
      </c>
      <c r="R10" s="26">
        <f t="shared" si="3"/>
        <v>1.6666666666666666E-2</v>
      </c>
      <c r="T10" s="3">
        <f t="shared" si="9"/>
        <v>28900</v>
      </c>
      <c r="U10" s="6" t="str">
        <f t="shared" si="4"/>
        <v>Ok</v>
      </c>
      <c r="W10" s="46"/>
      <c r="X10" s="46"/>
      <c r="Y10" s="46"/>
      <c r="Z10" s="46"/>
      <c r="AA10" s="46"/>
      <c r="AB10" s="46"/>
      <c r="AC10" s="46"/>
      <c r="AD10" s="46"/>
    </row>
    <row r="11" spans="2:30" x14ac:dyDescent="0.3">
      <c r="B11" s="3">
        <f t="shared" si="5"/>
        <v>56</v>
      </c>
      <c r="C11" s="3">
        <f t="shared" si="6"/>
        <v>24</v>
      </c>
      <c r="D11" s="20" t="s">
        <v>218</v>
      </c>
      <c r="E11" s="21" t="s">
        <v>210</v>
      </c>
      <c r="F11" s="22">
        <f t="shared" si="0"/>
        <v>29300</v>
      </c>
      <c r="H11" s="26">
        <v>1.3333333333333334E-2</v>
      </c>
      <c r="J11" s="3">
        <f t="shared" si="7"/>
        <v>29300</v>
      </c>
      <c r="K11" s="6" t="str">
        <f t="shared" si="1"/>
        <v>Ok</v>
      </c>
      <c r="M11" s="3">
        <f t="shared" si="8"/>
        <v>56</v>
      </c>
      <c r="N11" s="20" t="s">
        <v>236</v>
      </c>
      <c r="O11" s="21" t="s">
        <v>210</v>
      </c>
      <c r="P11" s="22">
        <f t="shared" si="2"/>
        <v>29300</v>
      </c>
      <c r="R11" s="26">
        <f t="shared" si="3"/>
        <v>1.3333333333333334E-2</v>
      </c>
      <c r="T11" s="3">
        <f t="shared" si="9"/>
        <v>29300</v>
      </c>
      <c r="U11" s="6" t="str">
        <f t="shared" si="4"/>
        <v>Ok</v>
      </c>
      <c r="W11" s="46"/>
      <c r="X11" s="46"/>
      <c r="Y11" s="46"/>
      <c r="Z11" s="46"/>
      <c r="AA11" s="46"/>
      <c r="AB11" s="46"/>
      <c r="AC11" s="46"/>
      <c r="AD11" s="46"/>
    </row>
    <row r="12" spans="2:30" x14ac:dyDescent="0.3">
      <c r="B12" s="3">
        <f t="shared" si="5"/>
        <v>63</v>
      </c>
      <c r="C12" s="3">
        <f t="shared" si="6"/>
        <v>27</v>
      </c>
      <c r="D12" s="20" t="s">
        <v>219</v>
      </c>
      <c r="E12" s="21" t="s">
        <v>210</v>
      </c>
      <c r="F12" s="22">
        <f t="shared" si="0"/>
        <v>29600</v>
      </c>
      <c r="H12" s="26">
        <v>0.01</v>
      </c>
      <c r="J12" s="3">
        <f t="shared" si="7"/>
        <v>29600</v>
      </c>
      <c r="K12" s="6" t="str">
        <f t="shared" si="1"/>
        <v>Ok</v>
      </c>
      <c r="M12" s="3">
        <f t="shared" si="8"/>
        <v>63</v>
      </c>
      <c r="N12" s="20" t="s">
        <v>237</v>
      </c>
      <c r="O12" s="21" t="s">
        <v>210</v>
      </c>
      <c r="P12" s="22">
        <f t="shared" si="2"/>
        <v>29600</v>
      </c>
      <c r="R12" s="26">
        <f t="shared" si="3"/>
        <v>0.01</v>
      </c>
      <c r="T12" s="3">
        <f t="shared" si="9"/>
        <v>29600</v>
      </c>
      <c r="U12" s="6" t="str">
        <f t="shared" si="4"/>
        <v>Ok</v>
      </c>
      <c r="AD12" t="s">
        <v>297</v>
      </c>
    </row>
    <row r="13" spans="2:30" x14ac:dyDescent="0.3">
      <c r="B13" s="3">
        <f t="shared" si="5"/>
        <v>70</v>
      </c>
      <c r="C13" s="3">
        <f t="shared" si="6"/>
        <v>30</v>
      </c>
      <c r="D13" s="20" t="s">
        <v>220</v>
      </c>
      <c r="E13" s="21" t="s">
        <v>210</v>
      </c>
      <c r="F13" s="22">
        <f t="shared" si="0"/>
        <v>29800</v>
      </c>
      <c r="H13" s="26">
        <v>6.6666666666666671E-3</v>
      </c>
      <c r="J13" s="3">
        <f t="shared" si="7"/>
        <v>29800</v>
      </c>
      <c r="K13" s="6" t="str">
        <f t="shared" si="1"/>
        <v>Ok</v>
      </c>
      <c r="M13" s="3">
        <f t="shared" si="8"/>
        <v>70</v>
      </c>
      <c r="N13" s="20" t="s">
        <v>238</v>
      </c>
      <c r="O13" s="21" t="s">
        <v>210</v>
      </c>
      <c r="P13" s="22">
        <f t="shared" si="2"/>
        <v>29800</v>
      </c>
      <c r="R13" s="26">
        <f t="shared" si="3"/>
        <v>6.6666666666666671E-3</v>
      </c>
      <c r="T13" s="3">
        <f t="shared" si="9"/>
        <v>29800</v>
      </c>
      <c r="U13" s="6" t="str">
        <f t="shared" si="4"/>
        <v>Ok</v>
      </c>
    </row>
    <row r="14" spans="2:30" x14ac:dyDescent="0.3">
      <c r="B14" s="3">
        <f t="shared" si="5"/>
        <v>77</v>
      </c>
      <c r="C14" s="3">
        <f t="shared" si="6"/>
        <v>33</v>
      </c>
      <c r="D14" s="20" t="s">
        <v>221</v>
      </c>
      <c r="E14" s="21" t="s">
        <v>210</v>
      </c>
      <c r="F14" s="22">
        <f t="shared" si="0"/>
        <v>29900</v>
      </c>
      <c r="H14" s="26">
        <v>3.3333333333333335E-3</v>
      </c>
      <c r="J14" s="3">
        <f t="shared" si="7"/>
        <v>29900</v>
      </c>
      <c r="K14" s="6" t="str">
        <f t="shared" si="1"/>
        <v>Ok</v>
      </c>
      <c r="M14" s="3">
        <f t="shared" si="8"/>
        <v>77</v>
      </c>
      <c r="N14" s="20" t="s">
        <v>239</v>
      </c>
      <c r="O14" s="21" t="s">
        <v>210</v>
      </c>
      <c r="P14" s="22">
        <f t="shared" si="2"/>
        <v>29900</v>
      </c>
      <c r="R14" s="26">
        <f t="shared" si="3"/>
        <v>3.3333333333333335E-3</v>
      </c>
      <c r="T14" s="3">
        <f t="shared" si="9"/>
        <v>29900</v>
      </c>
      <c r="U14" s="6" t="str">
        <f t="shared" si="4"/>
        <v>Ok</v>
      </c>
    </row>
    <row r="15" spans="2:30" x14ac:dyDescent="0.3">
      <c r="B15" s="3">
        <f t="shared" si="5"/>
        <v>84</v>
      </c>
      <c r="C15" s="3">
        <f t="shared" si="6"/>
        <v>36</v>
      </c>
      <c r="D15" s="20" t="s">
        <v>222</v>
      </c>
      <c r="E15" s="21" t="s">
        <v>210</v>
      </c>
      <c r="F15" s="22">
        <f t="shared" si="0"/>
        <v>29970</v>
      </c>
      <c r="H15" s="26">
        <v>2.3333333333333335E-3</v>
      </c>
      <c r="J15" s="3">
        <f t="shared" si="7"/>
        <v>29970</v>
      </c>
      <c r="K15" s="6" t="str">
        <f t="shared" si="1"/>
        <v>Ok</v>
      </c>
      <c r="M15" s="3">
        <f t="shared" si="8"/>
        <v>84</v>
      </c>
      <c r="N15" s="20" t="s">
        <v>240</v>
      </c>
      <c r="O15" s="21" t="s">
        <v>210</v>
      </c>
      <c r="P15" s="22">
        <f t="shared" si="2"/>
        <v>29970</v>
      </c>
      <c r="R15" s="26">
        <f t="shared" si="3"/>
        <v>2.3333333333333335E-3</v>
      </c>
      <c r="T15" s="3">
        <f t="shared" si="9"/>
        <v>29970</v>
      </c>
      <c r="U15" s="6" t="str">
        <f t="shared" si="4"/>
        <v>Ok</v>
      </c>
    </row>
    <row r="16" spans="2:30" x14ac:dyDescent="0.3">
      <c r="B16" s="3">
        <f t="shared" si="5"/>
        <v>91</v>
      </c>
      <c r="C16" s="3">
        <f t="shared" si="6"/>
        <v>39</v>
      </c>
      <c r="D16" s="23" t="s">
        <v>223</v>
      </c>
      <c r="E16" s="24" t="s">
        <v>210</v>
      </c>
      <c r="F16" s="25">
        <f t="shared" si="0"/>
        <v>30000</v>
      </c>
      <c r="H16" s="5">
        <f>1-SUM(H4:H15)</f>
        <v>1.0000000000001119E-3</v>
      </c>
      <c r="J16" s="3">
        <f t="shared" si="7"/>
        <v>30000</v>
      </c>
      <c r="K16" s="6" t="str">
        <f t="shared" si="1"/>
        <v>Ok</v>
      </c>
      <c r="M16" s="3">
        <f t="shared" si="8"/>
        <v>91</v>
      </c>
      <c r="N16" s="23" t="s">
        <v>241</v>
      </c>
      <c r="O16" s="24" t="s">
        <v>210</v>
      </c>
      <c r="P16" s="25">
        <f t="shared" si="2"/>
        <v>30000</v>
      </c>
      <c r="R16" s="15">
        <f>1-SUM(R4:R15)</f>
        <v>1.0000000000001119E-3</v>
      </c>
      <c r="T16" s="3">
        <f t="shared" si="9"/>
        <v>30000</v>
      </c>
      <c r="U16" s="6" t="str">
        <f t="shared" si="4"/>
        <v>Ok</v>
      </c>
    </row>
    <row r="17" spans="2:31" x14ac:dyDescent="0.3">
      <c r="H17" s="2">
        <f>SUM(H4:H16)</f>
        <v>1</v>
      </c>
      <c r="M17" s="3"/>
      <c r="P17" s="3"/>
      <c r="R17" s="16">
        <f>SUM(R4:R16)</f>
        <v>1</v>
      </c>
      <c r="T17" s="3"/>
    </row>
    <row r="18" spans="2:31" ht="3.75" customHeight="1" x14ac:dyDescent="0.3">
      <c r="R18" s="3"/>
    </row>
    <row r="19" spans="2:31" x14ac:dyDescent="0.3">
      <c r="D19" t="s">
        <v>278</v>
      </c>
      <c r="H19" s="14" t="s">
        <v>295</v>
      </c>
      <c r="I19" s="10"/>
      <c r="J19" s="27">
        <v>10000</v>
      </c>
      <c r="N19" t="s">
        <v>279</v>
      </c>
      <c r="R19" s="14" t="s">
        <v>295</v>
      </c>
      <c r="S19" s="10"/>
      <c r="T19" s="13">
        <v>11500</v>
      </c>
      <c r="X19" t="s">
        <v>275</v>
      </c>
      <c r="AB19" s="14" t="s">
        <v>295</v>
      </c>
      <c r="AC19" s="10"/>
      <c r="AD19" s="27">
        <v>10000</v>
      </c>
    </row>
    <row r="20" spans="2:31" x14ac:dyDescent="0.3">
      <c r="D20" s="17" t="s">
        <v>292</v>
      </c>
      <c r="E20" s="18" t="s">
        <v>210</v>
      </c>
      <c r="F20" s="19">
        <f>J19</f>
        <v>10000</v>
      </c>
      <c r="H20" s="3" t="s">
        <v>224</v>
      </c>
      <c r="J20" s="3" t="s">
        <v>225</v>
      </c>
      <c r="K20" t="s">
        <v>293</v>
      </c>
      <c r="M20" s="3"/>
      <c r="N20" s="17" t="s">
        <v>242</v>
      </c>
      <c r="O20" s="18" t="s">
        <v>210</v>
      </c>
      <c r="P20" s="19">
        <f>T19</f>
        <v>11500</v>
      </c>
      <c r="R20" s="3" t="s">
        <v>224</v>
      </c>
      <c r="T20" s="3" t="s">
        <v>225</v>
      </c>
      <c r="U20" t="s">
        <v>294</v>
      </c>
      <c r="W20" s="3"/>
      <c r="X20" s="17" t="s">
        <v>274</v>
      </c>
      <c r="Y20" s="18" t="s">
        <v>210</v>
      </c>
      <c r="Z20" s="19">
        <f>AD19</f>
        <v>10000</v>
      </c>
      <c r="AB20" t="s">
        <v>224</v>
      </c>
      <c r="AD20" s="3" t="s">
        <v>225</v>
      </c>
      <c r="AE20" t="s">
        <v>293</v>
      </c>
    </row>
    <row r="21" spans="2:31" x14ac:dyDescent="0.3">
      <c r="B21" s="3"/>
      <c r="C21" s="3" t="s">
        <v>250</v>
      </c>
      <c r="D21" s="20" t="s">
        <v>280</v>
      </c>
      <c r="E21" s="21" t="s">
        <v>210</v>
      </c>
      <c r="F21" s="22">
        <f t="shared" ref="F21:F28" si="10">J21</f>
        <v>1000</v>
      </c>
      <c r="H21" s="26">
        <v>0.1</v>
      </c>
      <c r="J21" s="3">
        <f>ROUND($J$19*H21,0)</f>
        <v>1000</v>
      </c>
      <c r="K21" s="6" t="str">
        <f>IF(K20&lt;&gt;"Ok","Drop null here",IF(J22&gt;$F$20,"End of percentage here","Ok"))</f>
        <v>Ok</v>
      </c>
      <c r="M21" s="7" t="s">
        <v>244</v>
      </c>
      <c r="N21" s="20" t="s">
        <v>257</v>
      </c>
      <c r="O21" s="21" t="s">
        <v>210</v>
      </c>
      <c r="P21" s="22">
        <f t="shared" ref="P21:P28" si="11">T21</f>
        <v>460</v>
      </c>
      <c r="R21" s="26">
        <v>0.04</v>
      </c>
      <c r="T21" s="3">
        <f>ROUND($T$19*R21,0)</f>
        <v>460</v>
      </c>
      <c r="U21" s="6" t="str">
        <f>IF(U20&lt;&gt;"Ok","Drop null here",IF(T22&gt;$P$20,"End of percentage here","Ok"))</f>
        <v>Ok</v>
      </c>
      <c r="W21" s="7" t="s">
        <v>270</v>
      </c>
      <c r="X21" s="20" t="s">
        <v>288</v>
      </c>
      <c r="Y21" s="21" t="s">
        <v>210</v>
      </c>
      <c r="Z21" s="22">
        <f t="shared" ref="Z21:Z24" si="12">AD21</f>
        <v>5000</v>
      </c>
      <c r="AB21" s="28">
        <v>0.5</v>
      </c>
      <c r="AD21" s="3">
        <f>ROUND($AD$19*AB21,0)</f>
        <v>5000</v>
      </c>
      <c r="AE21" s="6" t="str">
        <f>IF(AE20&lt;&gt;"Ok","Drop null here",IF(AD22&gt;$P$20,"End of percentage here","Ok"))</f>
        <v>Ok</v>
      </c>
    </row>
    <row r="22" spans="2:31" x14ac:dyDescent="0.3">
      <c r="B22" s="3"/>
      <c r="C22" s="3" t="s">
        <v>226</v>
      </c>
      <c r="D22" s="20" t="s">
        <v>281</v>
      </c>
      <c r="E22" s="21" t="s">
        <v>210</v>
      </c>
      <c r="F22" s="22">
        <f t="shared" si="10"/>
        <v>2200</v>
      </c>
      <c r="H22" s="26">
        <v>0.12</v>
      </c>
      <c r="J22" s="3">
        <f>IF(J21&gt;=$J$19,$J$19+1,ROUND(J21+$J$19*H22,0))</f>
        <v>2200</v>
      </c>
      <c r="K22" s="6" t="str">
        <f t="shared" ref="K22:K28" si="13">IF(K21&lt;&gt;"Ok","Drop null here",IF(J23&gt;$F$20,"End of percentage here","Ok"))</f>
        <v>Ok</v>
      </c>
      <c r="M22" s="7" t="s">
        <v>243</v>
      </c>
      <c r="N22" s="20" t="s">
        <v>258</v>
      </c>
      <c r="O22" s="21" t="s">
        <v>210</v>
      </c>
      <c r="P22" s="22">
        <f t="shared" si="11"/>
        <v>1265</v>
      </c>
      <c r="R22" s="26">
        <v>7.0000000000000007E-2</v>
      </c>
      <c r="T22" s="3">
        <f>IF(T21&gt;=$T$19,$T$19+1,ROUND(T21+$T$19*R22,0))</f>
        <v>1265</v>
      </c>
      <c r="U22" s="6" t="str">
        <f t="shared" ref="U22:U28" si="14">IF(U21&lt;&gt;"Ok","Drop null here",IF(T23&gt;$P$20,"End of percentage here","Ok"))</f>
        <v>Ok</v>
      </c>
      <c r="W22" s="7" t="s">
        <v>271</v>
      </c>
      <c r="X22" s="20" t="s">
        <v>289</v>
      </c>
      <c r="Y22" s="21" t="s">
        <v>210</v>
      </c>
      <c r="Z22" s="22">
        <f t="shared" si="12"/>
        <v>8500</v>
      </c>
      <c r="AB22" s="28">
        <v>0.35</v>
      </c>
      <c r="AD22" s="3">
        <f>IF(AD21&gt;=$AD$19,$AD$19+1,ROUND(AD21+$AD$19*AB22,0))</f>
        <v>8500</v>
      </c>
      <c r="AE22" s="6" t="str">
        <f t="shared" ref="AE22:AE24" si="15">IF(AE21&lt;&gt;"Ok","Drop null here",IF(AD23&gt;$P$20,"End of percentage here","Ok"))</f>
        <v>Ok</v>
      </c>
    </row>
    <row r="23" spans="2:31" x14ac:dyDescent="0.3">
      <c r="B23" s="3"/>
      <c r="C23" s="3" t="s">
        <v>245</v>
      </c>
      <c r="D23" s="20" t="s">
        <v>282</v>
      </c>
      <c r="E23" s="21" t="s">
        <v>210</v>
      </c>
      <c r="F23" s="22">
        <f t="shared" si="10"/>
        <v>3800</v>
      </c>
      <c r="H23" s="26">
        <v>0.16</v>
      </c>
      <c r="J23" s="3">
        <f t="shared" ref="J23:J28" si="16">IF(J22&gt;=$J$19,$J$19+1,ROUND(J22+$J$19*H23,0))</f>
        <v>3800</v>
      </c>
      <c r="K23" s="6" t="str">
        <f t="shared" si="13"/>
        <v>Ok</v>
      </c>
      <c r="M23" s="7" t="s">
        <v>251</v>
      </c>
      <c r="N23" s="20" t="s">
        <v>259</v>
      </c>
      <c r="O23" s="21" t="s">
        <v>210</v>
      </c>
      <c r="P23" s="22">
        <f t="shared" si="11"/>
        <v>2990</v>
      </c>
      <c r="R23" s="26">
        <v>0.15</v>
      </c>
      <c r="T23" s="3">
        <f t="shared" ref="T23:T29" si="17">IF(T22&gt;=$T$19,$T$19+1,ROUND(T22+$T$19*R23,0))</f>
        <v>2990</v>
      </c>
      <c r="U23" s="6" t="str">
        <f t="shared" si="14"/>
        <v>Ok</v>
      </c>
      <c r="W23" s="7" t="s">
        <v>272</v>
      </c>
      <c r="X23" s="20" t="s">
        <v>290</v>
      </c>
      <c r="Y23" s="21" t="s">
        <v>210</v>
      </c>
      <c r="Z23" s="22">
        <f t="shared" si="12"/>
        <v>9500</v>
      </c>
      <c r="AB23" s="28">
        <v>0.1</v>
      </c>
      <c r="AD23" s="3">
        <f t="shared" ref="AD23:AD24" si="18">IF(AD22&gt;=$AD$19,$AD$19+1,ROUND(AD22+$AD$19*AB23,0))</f>
        <v>9500</v>
      </c>
      <c r="AE23" s="6" t="str">
        <f t="shared" si="15"/>
        <v>Ok</v>
      </c>
    </row>
    <row r="24" spans="2:31" x14ac:dyDescent="0.3">
      <c r="B24" s="3"/>
      <c r="C24" s="3" t="s">
        <v>246</v>
      </c>
      <c r="D24" s="20" t="s">
        <v>283</v>
      </c>
      <c r="E24" s="21" t="s">
        <v>210</v>
      </c>
      <c r="F24" s="22">
        <f t="shared" si="10"/>
        <v>6100</v>
      </c>
      <c r="H24" s="26">
        <v>0.23</v>
      </c>
      <c r="J24" s="3">
        <f t="shared" si="16"/>
        <v>6100</v>
      </c>
      <c r="K24" s="6" t="str">
        <f t="shared" si="13"/>
        <v>Ok</v>
      </c>
      <c r="M24" s="7" t="s">
        <v>252</v>
      </c>
      <c r="N24" s="20" t="s">
        <v>260</v>
      </c>
      <c r="O24" s="21" t="s">
        <v>210</v>
      </c>
      <c r="P24" s="22">
        <f t="shared" si="11"/>
        <v>5290</v>
      </c>
      <c r="R24" s="26">
        <v>0.2</v>
      </c>
      <c r="T24" s="3">
        <f>IF(T23&gt;=$T$19,$T$19+1,ROUND(T23+$T$19*R24,0))</f>
        <v>5290</v>
      </c>
      <c r="U24" s="6" t="str">
        <f t="shared" si="14"/>
        <v>Ok</v>
      </c>
      <c r="W24" s="7" t="s">
        <v>273</v>
      </c>
      <c r="X24" s="23" t="s">
        <v>291</v>
      </c>
      <c r="Y24" s="24" t="s">
        <v>210</v>
      </c>
      <c r="Z24" s="25">
        <f t="shared" si="12"/>
        <v>10000</v>
      </c>
      <c r="AB24" s="5">
        <f>1-SUM(AB21:AB23)</f>
        <v>5.0000000000000044E-2</v>
      </c>
      <c r="AD24" s="3">
        <f t="shared" si="18"/>
        <v>10000</v>
      </c>
      <c r="AE24" s="6" t="str">
        <f t="shared" si="15"/>
        <v>Ok</v>
      </c>
    </row>
    <row r="25" spans="2:31" x14ac:dyDescent="0.3">
      <c r="B25" s="3"/>
      <c r="C25" s="3" t="s">
        <v>247</v>
      </c>
      <c r="D25" s="20" t="s">
        <v>284</v>
      </c>
      <c r="E25" s="21" t="s">
        <v>210</v>
      </c>
      <c r="F25" s="22">
        <f t="shared" si="10"/>
        <v>8400</v>
      </c>
      <c r="H25" s="26">
        <v>0.23</v>
      </c>
      <c r="J25" s="3">
        <f t="shared" si="16"/>
        <v>8400</v>
      </c>
      <c r="K25" s="6" t="str">
        <f t="shared" si="13"/>
        <v>Ok</v>
      </c>
      <c r="M25" s="7" t="s">
        <v>253</v>
      </c>
      <c r="N25" s="20" t="s">
        <v>261</v>
      </c>
      <c r="O25" s="21" t="s">
        <v>210</v>
      </c>
      <c r="P25" s="22">
        <f t="shared" si="11"/>
        <v>7015</v>
      </c>
      <c r="R25" s="26">
        <v>0.15</v>
      </c>
      <c r="T25" s="3">
        <f t="shared" si="17"/>
        <v>7015</v>
      </c>
      <c r="U25" s="6" t="str">
        <f t="shared" si="14"/>
        <v>Ok</v>
      </c>
      <c r="W25" s="7"/>
      <c r="X25" s="4"/>
      <c r="Y25" s="4"/>
      <c r="Z25" s="12"/>
      <c r="AB25" s="2">
        <f>SUM(AB21:AB24)</f>
        <v>1</v>
      </c>
      <c r="AD25" s="3"/>
    </row>
    <row r="26" spans="2:31" x14ac:dyDescent="0.3">
      <c r="B26" s="3"/>
      <c r="C26" s="3" t="s">
        <v>248</v>
      </c>
      <c r="D26" s="20" t="s">
        <v>285</v>
      </c>
      <c r="E26" s="21" t="s">
        <v>210</v>
      </c>
      <c r="F26" s="22">
        <f t="shared" si="10"/>
        <v>9600</v>
      </c>
      <c r="H26" s="26">
        <v>0.12</v>
      </c>
      <c r="J26" s="3">
        <f t="shared" si="16"/>
        <v>9600</v>
      </c>
      <c r="K26" s="6" t="str">
        <f t="shared" si="13"/>
        <v>Ok</v>
      </c>
      <c r="M26" s="7" t="s">
        <v>254</v>
      </c>
      <c r="N26" s="20" t="s">
        <v>262</v>
      </c>
      <c r="O26" s="21" t="s">
        <v>210</v>
      </c>
      <c r="P26" s="22">
        <f t="shared" si="11"/>
        <v>9315</v>
      </c>
      <c r="R26" s="26">
        <v>0.2</v>
      </c>
      <c r="T26" s="3">
        <f t="shared" si="17"/>
        <v>9315</v>
      </c>
      <c r="U26" s="6" t="str">
        <f t="shared" si="14"/>
        <v>Ok</v>
      </c>
      <c r="W26" s="7"/>
      <c r="X26" s="4"/>
      <c r="Y26" s="4"/>
      <c r="Z26" s="12"/>
      <c r="AB26" s="5"/>
      <c r="AD26" s="3"/>
    </row>
    <row r="27" spans="2:31" x14ac:dyDescent="0.3">
      <c r="B27" s="3"/>
      <c r="C27" s="3" t="s">
        <v>227</v>
      </c>
      <c r="D27" s="20" t="s">
        <v>286</v>
      </c>
      <c r="E27" s="21" t="s">
        <v>210</v>
      </c>
      <c r="F27" s="22">
        <f t="shared" si="10"/>
        <v>9900</v>
      </c>
      <c r="H27" s="26">
        <v>0.03</v>
      </c>
      <c r="J27" s="3">
        <f t="shared" si="16"/>
        <v>9900</v>
      </c>
      <c r="K27" s="6" t="str">
        <f t="shared" si="13"/>
        <v>Ok</v>
      </c>
      <c r="M27" s="7" t="s">
        <v>255</v>
      </c>
      <c r="N27" s="20" t="s">
        <v>263</v>
      </c>
      <c r="O27" s="21" t="s">
        <v>210</v>
      </c>
      <c r="P27" s="22">
        <f t="shared" si="11"/>
        <v>10695</v>
      </c>
      <c r="R27" s="26">
        <v>0.12</v>
      </c>
      <c r="T27" s="3">
        <f t="shared" si="17"/>
        <v>10695</v>
      </c>
      <c r="U27" s="6" t="str">
        <f t="shared" si="14"/>
        <v>Ok</v>
      </c>
      <c r="W27" s="7"/>
      <c r="X27" s="4"/>
      <c r="Y27" s="4"/>
      <c r="Z27" s="12"/>
      <c r="AB27" s="5"/>
      <c r="AD27" s="3"/>
    </row>
    <row r="28" spans="2:31" x14ac:dyDescent="0.3">
      <c r="B28" s="3"/>
      <c r="C28" s="3" t="s">
        <v>249</v>
      </c>
      <c r="D28" s="23" t="s">
        <v>287</v>
      </c>
      <c r="E28" s="24" t="s">
        <v>210</v>
      </c>
      <c r="F28" s="25">
        <f t="shared" si="10"/>
        <v>10000</v>
      </c>
      <c r="H28" s="15">
        <f>1-SUM(H21:H27)</f>
        <v>1.0000000000000009E-2</v>
      </c>
      <c r="J28" s="3">
        <f t="shared" si="16"/>
        <v>10000</v>
      </c>
      <c r="K28" s="6" t="str">
        <f t="shared" si="13"/>
        <v>Ok</v>
      </c>
      <c r="M28" s="7" t="s">
        <v>256</v>
      </c>
      <c r="N28" s="20" t="s">
        <v>264</v>
      </c>
      <c r="O28" s="21" t="s">
        <v>210</v>
      </c>
      <c r="P28" s="22">
        <f t="shared" si="11"/>
        <v>11270</v>
      </c>
      <c r="R28" s="26">
        <v>0.05</v>
      </c>
      <c r="T28" s="3">
        <f t="shared" si="17"/>
        <v>11270</v>
      </c>
      <c r="U28" s="6" t="str">
        <f t="shared" si="14"/>
        <v>Ok</v>
      </c>
      <c r="W28" s="7"/>
      <c r="X28" s="4"/>
      <c r="Y28" s="4"/>
      <c r="Z28" s="12"/>
      <c r="AB28" s="5"/>
      <c r="AD28" s="3"/>
    </row>
    <row r="29" spans="2:31" x14ac:dyDescent="0.3">
      <c r="H29" s="16">
        <f>SUM(H21:H28)</f>
        <v>1</v>
      </c>
      <c r="M29" s="3" t="s">
        <v>266</v>
      </c>
      <c r="N29" s="23" t="s">
        <v>265</v>
      </c>
      <c r="O29" s="24" t="s">
        <v>210</v>
      </c>
      <c r="P29" s="25">
        <f t="shared" ref="P29" si="19">T29</f>
        <v>11500</v>
      </c>
      <c r="R29" s="15">
        <f>1-SUM(R21:R28)</f>
        <v>1.9999999999999907E-2</v>
      </c>
      <c r="T29" s="3">
        <f t="shared" si="17"/>
        <v>11500</v>
      </c>
      <c r="W29" s="3"/>
      <c r="X29" s="4"/>
      <c r="Y29" s="4"/>
      <c r="Z29" s="12"/>
      <c r="AB29" s="5"/>
      <c r="AD29" s="3"/>
    </row>
    <row r="30" spans="2:31" x14ac:dyDescent="0.3">
      <c r="R30" s="2">
        <f>SUM(R21:R29)</f>
        <v>1</v>
      </c>
      <c r="X30" s="4"/>
      <c r="Y30" s="4"/>
      <c r="Z30" s="4"/>
    </row>
  </sheetData>
  <sheetProtection sheet="1" objects="1" scenarios="1" selectLockedCells="1"/>
  <mergeCells count="3">
    <mergeCell ref="N1:P1"/>
    <mergeCell ref="D1:F1"/>
    <mergeCell ref="W4:AD11"/>
  </mergeCells>
  <conditionalFormatting sqref="K4:K16">
    <cfRule type="containsText" dxfId="6" priority="7" operator="containsText" text="Drop null here">
      <formula>NOT(ISERROR(SEARCH("Drop null here",K4)))</formula>
    </cfRule>
  </conditionalFormatting>
  <conditionalFormatting sqref="U4:U16">
    <cfRule type="containsText" dxfId="5" priority="6" operator="containsText" text="Drop null here">
      <formula>NOT(ISERROR(SEARCH("Drop null here",U4)))</formula>
    </cfRule>
  </conditionalFormatting>
  <conditionalFormatting sqref="K21:K28">
    <cfRule type="containsText" dxfId="4" priority="5" operator="containsText" text="Drop null here">
      <formula>NOT(ISERROR(SEARCH("Drop null here",K21)))</formula>
    </cfRule>
  </conditionalFormatting>
  <conditionalFormatting sqref="U22:U28">
    <cfRule type="containsText" dxfId="3" priority="4" operator="containsText" text="Drop null here">
      <formula>NOT(ISERROR(SEARCH("Drop null here",U22)))</formula>
    </cfRule>
  </conditionalFormatting>
  <conditionalFormatting sqref="U21:U28">
    <cfRule type="containsText" dxfId="2" priority="3" operator="containsText" text="Drop null here">
      <formula>NOT(ISERROR(SEARCH("Drop null here",U21)))</formula>
    </cfRule>
  </conditionalFormatting>
  <conditionalFormatting sqref="AE21">
    <cfRule type="containsText" dxfId="1" priority="2" operator="containsText" text="Drop null here">
      <formula>NOT(ISERROR(SEARCH("Drop null here",AE21)))</formula>
    </cfRule>
  </conditionalFormatting>
  <conditionalFormatting sqref="AE22:AE24">
    <cfRule type="containsText" dxfId="0" priority="1" operator="containsText" text="Drop null here">
      <formula>NOT(ISERROR(SEARCH("Drop null here",AE22)))</formula>
    </cfRule>
  </conditionalFormatting>
  <pageMargins left="0.511811024" right="0.511811024" top="0.78740157499999996" bottom="0.78740157499999996" header="0.31496062000000002" footer="0.3149606200000000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C100"/>
  <sheetViews>
    <sheetView tabSelected="1" workbookViewId="0">
      <selection activeCell="A2" sqref="A2:AC27"/>
    </sheetView>
  </sheetViews>
  <sheetFormatPr baseColWidth="10" defaultColWidth="7.88671875" defaultRowHeight="14.4" x14ac:dyDescent="0.3"/>
  <cols>
    <col min="1" max="1" width="7.6640625" bestFit="1" customWidth="1"/>
    <col min="2" max="2" width="2" bestFit="1" customWidth="1"/>
    <col min="3" max="3" width="3" bestFit="1" customWidth="1"/>
    <col min="4" max="4" width="4.88671875" bestFit="1" customWidth="1"/>
    <col min="5" max="5" width="3" bestFit="1" customWidth="1"/>
    <col min="6" max="6" width="6.6640625" bestFit="1" customWidth="1"/>
    <col min="7" max="7" width="7.5546875" bestFit="1" customWidth="1"/>
    <col min="8" max="8" width="5.109375" bestFit="1" customWidth="1"/>
    <col min="9" max="9" width="7.44140625" bestFit="1" customWidth="1"/>
    <col min="10" max="10" width="7.6640625" bestFit="1" customWidth="1"/>
    <col min="11" max="14" width="2.6640625" bestFit="1" customWidth="1"/>
    <col min="15" max="15" width="9.109375" bestFit="1" customWidth="1"/>
    <col min="16" max="16" width="9.5546875" bestFit="1" customWidth="1"/>
    <col min="17" max="17" width="9.109375" bestFit="1" customWidth="1"/>
    <col min="18" max="18" width="9.5546875" bestFit="1" customWidth="1"/>
    <col min="19" max="19" width="9.109375" bestFit="1" customWidth="1"/>
    <col min="20" max="20" width="9.5546875" bestFit="1" customWidth="1"/>
    <col min="21" max="21" width="12.88671875" bestFit="1" customWidth="1"/>
    <col min="22" max="22" width="13.44140625" bestFit="1" customWidth="1"/>
    <col min="23" max="23" width="2" bestFit="1" customWidth="1"/>
    <col min="24" max="24" width="11.109375" bestFit="1" customWidth="1"/>
    <col min="25" max="26" width="2.109375" bestFit="1" customWidth="1"/>
    <col min="27" max="27" width="6.44140625" bestFit="1" customWidth="1"/>
    <col min="28" max="28" width="4" bestFit="1" customWidth="1"/>
    <col min="29" max="29" width="10.88671875" bestFit="1" customWidth="1"/>
  </cols>
  <sheetData>
    <row r="1" spans="1:29" x14ac:dyDescent="0.3">
      <c r="A1" s="29" t="s">
        <v>298</v>
      </c>
      <c r="B1" s="29" t="s">
        <v>210</v>
      </c>
      <c r="C1" s="29" t="s">
        <v>299</v>
      </c>
      <c r="D1" s="29" t="s">
        <v>300</v>
      </c>
      <c r="E1" s="29" t="s">
        <v>181</v>
      </c>
      <c r="F1" s="29" t="s">
        <v>301</v>
      </c>
      <c r="G1" s="29" t="s">
        <v>302</v>
      </c>
      <c r="H1" s="29" t="s">
        <v>303</v>
      </c>
      <c r="I1" s="29" t="s">
        <v>304</v>
      </c>
      <c r="J1" s="29" t="s">
        <v>305</v>
      </c>
      <c r="K1" s="29" t="s">
        <v>306</v>
      </c>
      <c r="L1" s="29" t="s">
        <v>306</v>
      </c>
      <c r="M1" s="29" t="s">
        <v>306</v>
      </c>
      <c r="N1" s="29" t="s">
        <v>306</v>
      </c>
      <c r="O1" s="29" t="s">
        <v>307</v>
      </c>
      <c r="P1" s="29" t="s">
        <v>308</v>
      </c>
      <c r="Q1" s="29" t="s">
        <v>309</v>
      </c>
      <c r="R1" s="29" t="s">
        <v>310</v>
      </c>
      <c r="S1" s="29" t="s">
        <v>311</v>
      </c>
      <c r="T1" s="29" t="s">
        <v>312</v>
      </c>
      <c r="U1" s="29" t="s">
        <v>313</v>
      </c>
      <c r="V1" s="29" t="s">
        <v>314</v>
      </c>
      <c r="W1" s="29" t="s">
        <v>315</v>
      </c>
      <c r="X1" s="29" t="s">
        <v>316</v>
      </c>
      <c r="Y1" s="29" t="s">
        <v>306</v>
      </c>
      <c r="Z1" s="29" t="s">
        <v>317</v>
      </c>
      <c r="AA1" s="29" t="s">
        <v>318</v>
      </c>
      <c r="AB1" s="29" t="s">
        <v>299</v>
      </c>
      <c r="AC1" s="29" t="s">
        <v>319</v>
      </c>
    </row>
    <row r="2" spans="1:29" x14ac:dyDescent="0.3">
      <c r="A2" s="30" t="s">
        <v>320</v>
      </c>
      <c r="B2" s="30" t="s">
        <v>210</v>
      </c>
      <c r="C2" s="30">
        <v>1</v>
      </c>
      <c r="D2" s="30">
        <v>1</v>
      </c>
      <c r="E2" s="30">
        <v>1</v>
      </c>
      <c r="F2" s="31">
        <v>17</v>
      </c>
      <c r="G2" s="31">
        <v>150</v>
      </c>
      <c r="H2" s="30">
        <v>4</v>
      </c>
      <c r="I2" s="31">
        <v>50</v>
      </c>
      <c r="J2" s="31">
        <v>310</v>
      </c>
      <c r="K2" s="30">
        <v>-1</v>
      </c>
      <c r="L2" s="30">
        <v>-1</v>
      </c>
      <c r="M2" s="30">
        <v>-1</v>
      </c>
      <c r="N2" s="30">
        <v>-1</v>
      </c>
      <c r="O2" s="31">
        <v>-1</v>
      </c>
      <c r="P2" s="31">
        <v>12000</v>
      </c>
      <c r="Q2" s="30">
        <v>90</v>
      </c>
      <c r="R2" s="30">
        <v>18000</v>
      </c>
      <c r="S2" s="30">
        <v>90</v>
      </c>
      <c r="T2" s="30">
        <v>14000</v>
      </c>
      <c r="U2" s="31">
        <v>120</v>
      </c>
      <c r="V2" s="31">
        <v>99999</v>
      </c>
      <c r="W2" s="30">
        <v>1</v>
      </c>
      <c r="X2" s="31" t="s">
        <v>322</v>
      </c>
      <c r="Y2" s="30">
        <v>0</v>
      </c>
      <c r="Z2" s="30">
        <v>0</v>
      </c>
      <c r="AA2" s="30">
        <v>0</v>
      </c>
      <c r="AB2" s="30">
        <v>101</v>
      </c>
      <c r="AC2" s="31">
        <v>0</v>
      </c>
    </row>
    <row r="3" spans="1:29" x14ac:dyDescent="0.3">
      <c r="A3" s="30" t="s">
        <v>320</v>
      </c>
      <c r="B3" s="30" t="s">
        <v>210</v>
      </c>
      <c r="C3" s="30">
        <v>2</v>
      </c>
      <c r="D3" s="30">
        <v>1</v>
      </c>
      <c r="E3" s="30">
        <v>1</v>
      </c>
      <c r="F3" s="31">
        <v>12</v>
      </c>
      <c r="G3" s="31">
        <v>130</v>
      </c>
      <c r="H3" s="30">
        <v>4</v>
      </c>
      <c r="I3" s="31">
        <v>50</v>
      </c>
      <c r="J3" s="31">
        <v>310</v>
      </c>
      <c r="K3" s="30">
        <v>-1</v>
      </c>
      <c r="L3" s="30">
        <v>-1</v>
      </c>
      <c r="M3" s="30">
        <v>-1</v>
      </c>
      <c r="N3" s="30">
        <v>-1</v>
      </c>
      <c r="O3" s="31">
        <v>-1</v>
      </c>
      <c r="P3" s="31">
        <v>12000</v>
      </c>
      <c r="Q3" s="30">
        <v>90</v>
      </c>
      <c r="R3" s="30">
        <v>18000</v>
      </c>
      <c r="S3" s="30">
        <v>90</v>
      </c>
      <c r="T3" s="30">
        <v>14000</v>
      </c>
      <c r="U3" s="31">
        <v>150</v>
      </c>
      <c r="V3" s="32">
        <v>99999</v>
      </c>
      <c r="W3" s="30">
        <v>1</v>
      </c>
      <c r="X3" s="31" t="s">
        <v>322</v>
      </c>
      <c r="Y3" s="30">
        <v>0</v>
      </c>
      <c r="Z3" s="30">
        <v>0</v>
      </c>
      <c r="AA3" s="30">
        <v>0</v>
      </c>
      <c r="AB3" s="30">
        <v>102</v>
      </c>
      <c r="AC3" s="31">
        <v>0</v>
      </c>
    </row>
    <row r="4" spans="1:29" x14ac:dyDescent="0.3">
      <c r="A4" s="30" t="s">
        <v>320</v>
      </c>
      <c r="B4" s="30" t="s">
        <v>210</v>
      </c>
      <c r="C4" s="30">
        <v>3</v>
      </c>
      <c r="D4" s="30">
        <v>1</v>
      </c>
      <c r="E4" s="30">
        <v>1</v>
      </c>
      <c r="F4" s="31">
        <v>10</v>
      </c>
      <c r="G4" s="31">
        <v>90</v>
      </c>
      <c r="H4" s="30">
        <v>4</v>
      </c>
      <c r="I4" s="31">
        <v>50</v>
      </c>
      <c r="J4" s="31">
        <v>310</v>
      </c>
      <c r="K4" s="30">
        <v>-1</v>
      </c>
      <c r="L4" s="30">
        <v>-1</v>
      </c>
      <c r="M4" s="30">
        <v>-1</v>
      </c>
      <c r="N4" s="30">
        <v>-1</v>
      </c>
      <c r="O4" s="31">
        <v>-1</v>
      </c>
      <c r="P4" s="31">
        <v>12000</v>
      </c>
      <c r="Q4" s="30">
        <v>90</v>
      </c>
      <c r="R4" s="30">
        <v>18000</v>
      </c>
      <c r="S4" s="30">
        <v>90</v>
      </c>
      <c r="T4" s="30">
        <v>14000</v>
      </c>
      <c r="U4" s="31">
        <v>250</v>
      </c>
      <c r="V4" s="31">
        <v>99999</v>
      </c>
      <c r="W4" s="30">
        <v>1</v>
      </c>
      <c r="X4" s="31" t="s">
        <v>322</v>
      </c>
      <c r="Y4" s="30">
        <v>0</v>
      </c>
      <c r="Z4" s="30">
        <v>0</v>
      </c>
      <c r="AA4" s="30">
        <v>0</v>
      </c>
      <c r="AB4" s="30">
        <v>103</v>
      </c>
      <c r="AC4" s="31">
        <v>0</v>
      </c>
    </row>
    <row r="5" spans="1:29" x14ac:dyDescent="0.3">
      <c r="A5" s="30" t="s">
        <v>320</v>
      </c>
      <c r="B5" s="30" t="s">
        <v>210</v>
      </c>
      <c r="C5" s="30">
        <v>4</v>
      </c>
      <c r="D5" s="30">
        <v>1</v>
      </c>
      <c r="E5" s="30">
        <v>1</v>
      </c>
      <c r="F5" s="31">
        <v>54</v>
      </c>
      <c r="G5" s="31">
        <v>160</v>
      </c>
      <c r="H5" s="30">
        <v>4</v>
      </c>
      <c r="I5" s="31">
        <v>50</v>
      </c>
      <c r="J5" s="31">
        <v>310</v>
      </c>
      <c r="K5" s="30">
        <v>-1</v>
      </c>
      <c r="L5" s="30">
        <v>-1</v>
      </c>
      <c r="M5" s="30">
        <v>-1</v>
      </c>
      <c r="N5" s="30">
        <v>-1</v>
      </c>
      <c r="O5" s="31">
        <v>-1</v>
      </c>
      <c r="P5" s="31">
        <v>12000</v>
      </c>
      <c r="Q5" s="30">
        <v>90</v>
      </c>
      <c r="R5" s="30">
        <v>18000</v>
      </c>
      <c r="S5" s="30">
        <v>90</v>
      </c>
      <c r="T5" s="30">
        <v>14000</v>
      </c>
      <c r="U5" s="31">
        <v>350</v>
      </c>
      <c r="V5" s="31">
        <v>99999</v>
      </c>
      <c r="W5" s="30">
        <v>1</v>
      </c>
      <c r="X5" s="31" t="s">
        <v>322</v>
      </c>
      <c r="Y5" s="30">
        <v>0</v>
      </c>
      <c r="Z5" s="30">
        <v>0</v>
      </c>
      <c r="AA5" s="30">
        <v>0</v>
      </c>
      <c r="AB5" s="30">
        <v>104</v>
      </c>
      <c r="AC5" s="31">
        <v>0</v>
      </c>
    </row>
    <row r="6" spans="1:29" x14ac:dyDescent="0.3">
      <c r="A6" s="30" t="s">
        <v>320</v>
      </c>
      <c r="B6" s="30" t="s">
        <v>210</v>
      </c>
      <c r="C6" s="30">
        <v>5</v>
      </c>
      <c r="D6" s="30">
        <v>1</v>
      </c>
      <c r="E6" s="30">
        <v>1</v>
      </c>
      <c r="F6" s="31">
        <v>11</v>
      </c>
      <c r="G6" s="31">
        <v>200</v>
      </c>
      <c r="H6" s="30">
        <v>4</v>
      </c>
      <c r="I6" s="31">
        <v>50</v>
      </c>
      <c r="J6" s="31">
        <v>310</v>
      </c>
      <c r="K6" s="30">
        <v>-1</v>
      </c>
      <c r="L6" s="30">
        <v>-1</v>
      </c>
      <c r="M6" s="30">
        <v>-1</v>
      </c>
      <c r="N6" s="30">
        <v>-1</v>
      </c>
      <c r="O6" s="31">
        <v>-1</v>
      </c>
      <c r="P6" s="31">
        <v>12000</v>
      </c>
      <c r="Q6" s="30">
        <v>90</v>
      </c>
      <c r="R6" s="30">
        <v>18000</v>
      </c>
      <c r="S6" s="30">
        <v>90</v>
      </c>
      <c r="T6" s="30">
        <v>14000</v>
      </c>
      <c r="U6" s="31">
        <v>200</v>
      </c>
      <c r="V6" s="31">
        <v>99999</v>
      </c>
      <c r="W6" s="30">
        <v>1</v>
      </c>
      <c r="X6" s="31" t="s">
        <v>322</v>
      </c>
      <c r="Y6" s="30">
        <v>0</v>
      </c>
      <c r="Z6" s="30">
        <v>0</v>
      </c>
      <c r="AA6" s="30">
        <v>0</v>
      </c>
      <c r="AB6" s="30">
        <v>105</v>
      </c>
      <c r="AC6" s="31">
        <v>0</v>
      </c>
    </row>
    <row r="7" spans="1:29" x14ac:dyDescent="0.3">
      <c r="A7" s="30" t="s">
        <v>320</v>
      </c>
      <c r="B7" s="30" t="s">
        <v>210</v>
      </c>
      <c r="C7" s="30">
        <v>6</v>
      </c>
      <c r="D7" s="30">
        <v>2</v>
      </c>
      <c r="E7" s="30">
        <v>1</v>
      </c>
      <c r="F7" s="31">
        <v>18</v>
      </c>
      <c r="G7" s="31">
        <v>200</v>
      </c>
      <c r="H7" s="30">
        <v>4</v>
      </c>
      <c r="I7" s="31">
        <v>50</v>
      </c>
      <c r="J7" s="31">
        <v>310</v>
      </c>
      <c r="K7" s="30">
        <v>-1</v>
      </c>
      <c r="L7" s="30">
        <v>-1</v>
      </c>
      <c r="M7" s="30">
        <v>-1</v>
      </c>
      <c r="N7" s="30">
        <v>-1</v>
      </c>
      <c r="O7" s="31">
        <v>-1</v>
      </c>
      <c r="P7" s="31">
        <v>12000</v>
      </c>
      <c r="Q7" s="30">
        <v>90</v>
      </c>
      <c r="R7" s="30">
        <v>18000</v>
      </c>
      <c r="S7" s="30">
        <v>90</v>
      </c>
      <c r="T7" s="30">
        <v>14000</v>
      </c>
      <c r="U7" s="31">
        <v>180</v>
      </c>
      <c r="V7" s="31">
        <v>99999</v>
      </c>
      <c r="W7" s="30">
        <v>1</v>
      </c>
      <c r="X7" s="31" t="s">
        <v>321</v>
      </c>
      <c r="Y7" s="30">
        <v>0</v>
      </c>
      <c r="Z7" s="30">
        <v>0</v>
      </c>
      <c r="AA7" s="30">
        <v>0</v>
      </c>
      <c r="AB7" s="30">
        <v>106</v>
      </c>
      <c r="AC7" s="31">
        <v>0</v>
      </c>
    </row>
    <row r="8" spans="1:29" x14ac:dyDescent="0.3">
      <c r="A8" s="30" t="s">
        <v>320</v>
      </c>
      <c r="B8" s="30" t="s">
        <v>210</v>
      </c>
      <c r="C8" s="30">
        <v>7</v>
      </c>
      <c r="D8" s="30">
        <v>2</v>
      </c>
      <c r="E8" s="30">
        <v>1</v>
      </c>
      <c r="F8" s="31">
        <v>17</v>
      </c>
      <c r="G8" s="31">
        <v>150</v>
      </c>
      <c r="H8" s="30">
        <v>4</v>
      </c>
      <c r="I8" s="31">
        <v>50</v>
      </c>
      <c r="J8" s="31">
        <v>310</v>
      </c>
      <c r="K8" s="30">
        <v>-1</v>
      </c>
      <c r="L8" s="30">
        <v>-1</v>
      </c>
      <c r="M8" s="30">
        <v>-1</v>
      </c>
      <c r="N8" s="30">
        <v>-1</v>
      </c>
      <c r="O8" s="31">
        <v>-1</v>
      </c>
      <c r="P8" s="31">
        <v>12000</v>
      </c>
      <c r="Q8" s="30">
        <v>90</v>
      </c>
      <c r="R8" s="30">
        <v>18000</v>
      </c>
      <c r="S8" s="30">
        <v>90</v>
      </c>
      <c r="T8" s="30">
        <v>14000</v>
      </c>
      <c r="U8" s="31">
        <v>150</v>
      </c>
      <c r="V8" s="31">
        <v>99999</v>
      </c>
      <c r="W8" s="30">
        <v>1</v>
      </c>
      <c r="X8" s="31" t="s">
        <v>321</v>
      </c>
      <c r="Y8" s="30">
        <v>0</v>
      </c>
      <c r="Z8" s="30">
        <v>0</v>
      </c>
      <c r="AA8" s="30">
        <v>0</v>
      </c>
      <c r="AB8" s="30">
        <v>107</v>
      </c>
      <c r="AC8" s="31">
        <v>0</v>
      </c>
    </row>
    <row r="9" spans="1:29" x14ac:dyDescent="0.3">
      <c r="A9" s="30" t="s">
        <v>320</v>
      </c>
      <c r="B9" s="30" t="s">
        <v>210</v>
      </c>
      <c r="C9" s="30">
        <v>8</v>
      </c>
      <c r="D9" s="30">
        <v>2</v>
      </c>
      <c r="E9" s="30">
        <v>1</v>
      </c>
      <c r="F9" s="31">
        <v>12</v>
      </c>
      <c r="G9" s="31">
        <v>130</v>
      </c>
      <c r="H9" s="30">
        <v>4</v>
      </c>
      <c r="I9" s="31">
        <v>50</v>
      </c>
      <c r="J9" s="31">
        <v>310</v>
      </c>
      <c r="K9" s="30">
        <v>-1</v>
      </c>
      <c r="L9" s="30">
        <v>-1</v>
      </c>
      <c r="M9" s="30">
        <v>-1</v>
      </c>
      <c r="N9" s="30">
        <v>-1</v>
      </c>
      <c r="O9" s="31">
        <v>-1</v>
      </c>
      <c r="P9" s="31">
        <v>12000</v>
      </c>
      <c r="Q9" s="30">
        <v>90</v>
      </c>
      <c r="R9" s="30">
        <v>18000</v>
      </c>
      <c r="S9" s="30">
        <v>90</v>
      </c>
      <c r="T9" s="30">
        <v>14000</v>
      </c>
      <c r="U9" s="31">
        <v>250</v>
      </c>
      <c r="V9" s="31">
        <v>99999</v>
      </c>
      <c r="W9" s="30">
        <v>1</v>
      </c>
      <c r="X9" s="31" t="s">
        <v>321</v>
      </c>
      <c r="Y9" s="30">
        <v>0</v>
      </c>
      <c r="Z9" s="30">
        <v>0</v>
      </c>
      <c r="AA9" s="30">
        <v>0</v>
      </c>
      <c r="AB9" s="30">
        <v>108</v>
      </c>
      <c r="AC9" s="31">
        <v>0</v>
      </c>
    </row>
    <row r="10" spans="1:29" x14ac:dyDescent="0.3">
      <c r="A10" s="30" t="s">
        <v>320</v>
      </c>
      <c r="B10" s="30" t="s">
        <v>210</v>
      </c>
      <c r="C10" s="30">
        <v>9</v>
      </c>
      <c r="D10" s="30">
        <v>2</v>
      </c>
      <c r="E10" s="30">
        <v>1</v>
      </c>
      <c r="F10" s="31">
        <v>10</v>
      </c>
      <c r="G10" s="31">
        <v>90</v>
      </c>
      <c r="H10" s="30">
        <v>4</v>
      </c>
      <c r="I10" s="31">
        <v>50</v>
      </c>
      <c r="J10" s="31">
        <v>310</v>
      </c>
      <c r="K10" s="30">
        <v>-1</v>
      </c>
      <c r="L10" s="30">
        <v>-1</v>
      </c>
      <c r="M10" s="30">
        <v>-1</v>
      </c>
      <c r="N10" s="30">
        <v>-1</v>
      </c>
      <c r="O10" s="31">
        <v>-1</v>
      </c>
      <c r="P10" s="31">
        <v>12000</v>
      </c>
      <c r="Q10" s="30">
        <v>90</v>
      </c>
      <c r="R10" s="30">
        <v>18000</v>
      </c>
      <c r="S10" s="30">
        <v>90</v>
      </c>
      <c r="T10" s="30">
        <v>14000</v>
      </c>
      <c r="U10" s="31">
        <v>350</v>
      </c>
      <c r="V10" s="31">
        <v>99999</v>
      </c>
      <c r="W10" s="30">
        <v>1</v>
      </c>
      <c r="X10" s="31" t="s">
        <v>321</v>
      </c>
      <c r="Y10" s="30">
        <v>0</v>
      </c>
      <c r="Z10" s="30">
        <v>0</v>
      </c>
      <c r="AA10" s="30">
        <v>0</v>
      </c>
      <c r="AB10" s="30">
        <v>109</v>
      </c>
      <c r="AC10" s="32">
        <v>0</v>
      </c>
    </row>
    <row r="11" spans="1:29" x14ac:dyDescent="0.3">
      <c r="A11" s="30" t="s">
        <v>320</v>
      </c>
      <c r="B11" s="30" t="s">
        <v>210</v>
      </c>
      <c r="C11" s="30">
        <v>10</v>
      </c>
      <c r="D11" s="30">
        <v>2</v>
      </c>
      <c r="E11" s="30">
        <v>1</v>
      </c>
      <c r="F11" s="31">
        <v>54</v>
      </c>
      <c r="G11" s="31">
        <v>160</v>
      </c>
      <c r="H11" s="30">
        <v>4</v>
      </c>
      <c r="I11" s="31">
        <v>50</v>
      </c>
      <c r="J11" s="31">
        <v>310</v>
      </c>
      <c r="K11" s="30">
        <v>-1</v>
      </c>
      <c r="L11" s="30">
        <v>-1</v>
      </c>
      <c r="M11" s="30">
        <v>-1</v>
      </c>
      <c r="N11" s="30">
        <v>-1</v>
      </c>
      <c r="O11" s="31">
        <v>-1</v>
      </c>
      <c r="P11" s="31">
        <v>12000</v>
      </c>
      <c r="Q11" s="30">
        <v>90</v>
      </c>
      <c r="R11" s="30">
        <v>18000</v>
      </c>
      <c r="S11" s="30">
        <v>90</v>
      </c>
      <c r="T11" s="30">
        <v>14000</v>
      </c>
      <c r="U11" s="31">
        <v>200</v>
      </c>
      <c r="V11" s="31">
        <v>99999</v>
      </c>
      <c r="W11" s="30">
        <v>1</v>
      </c>
      <c r="X11" s="31" t="s">
        <v>321</v>
      </c>
      <c r="Y11" s="30">
        <v>0</v>
      </c>
      <c r="Z11" s="30">
        <v>0</v>
      </c>
      <c r="AA11" s="30">
        <v>0</v>
      </c>
      <c r="AB11" s="30">
        <v>110</v>
      </c>
      <c r="AC11" s="31">
        <v>0</v>
      </c>
    </row>
    <row r="12" spans="1:29" x14ac:dyDescent="0.3">
      <c r="A12" s="30" t="s">
        <v>320</v>
      </c>
      <c r="B12" s="30" t="s">
        <v>210</v>
      </c>
      <c r="C12" s="30">
        <v>11</v>
      </c>
      <c r="D12" s="30">
        <v>2</v>
      </c>
      <c r="E12" s="30">
        <v>1</v>
      </c>
      <c r="F12" s="31">
        <v>11</v>
      </c>
      <c r="G12" s="31">
        <v>200</v>
      </c>
      <c r="H12" s="30">
        <v>4</v>
      </c>
      <c r="I12" s="31">
        <v>50</v>
      </c>
      <c r="J12" s="31">
        <v>310</v>
      </c>
      <c r="K12" s="30">
        <v>-1</v>
      </c>
      <c r="L12" s="30">
        <v>-1</v>
      </c>
      <c r="M12" s="30">
        <v>-1</v>
      </c>
      <c r="N12" s="30">
        <v>-1</v>
      </c>
      <c r="O12" s="31">
        <v>-1</v>
      </c>
      <c r="P12" s="31">
        <v>12000</v>
      </c>
      <c r="Q12" s="30">
        <v>90</v>
      </c>
      <c r="R12" s="30">
        <v>18000</v>
      </c>
      <c r="S12" s="30">
        <v>90</v>
      </c>
      <c r="T12" s="30">
        <v>14000</v>
      </c>
      <c r="U12" s="31">
        <v>180</v>
      </c>
      <c r="V12" s="31">
        <v>99999</v>
      </c>
      <c r="W12" s="30">
        <v>1</v>
      </c>
      <c r="X12" s="31" t="s">
        <v>321</v>
      </c>
      <c r="Y12" s="30">
        <v>0</v>
      </c>
      <c r="Z12" s="30">
        <v>0</v>
      </c>
      <c r="AA12" s="30">
        <v>0</v>
      </c>
      <c r="AB12" s="30">
        <v>111</v>
      </c>
      <c r="AC12" s="31">
        <v>0</v>
      </c>
    </row>
    <row r="13" spans="1:29" x14ac:dyDescent="0.3">
      <c r="A13" s="30" t="s">
        <v>320</v>
      </c>
      <c r="B13" s="30" t="s">
        <v>210</v>
      </c>
      <c r="C13" s="30">
        <v>12</v>
      </c>
      <c r="D13" s="30">
        <v>2</v>
      </c>
      <c r="E13" s="30">
        <v>1</v>
      </c>
      <c r="F13" s="31">
        <v>18</v>
      </c>
      <c r="G13" s="31">
        <v>200</v>
      </c>
      <c r="H13" s="30">
        <v>4</v>
      </c>
      <c r="I13" s="31">
        <v>50</v>
      </c>
      <c r="J13" s="31">
        <v>310</v>
      </c>
      <c r="K13" s="30">
        <v>-1</v>
      </c>
      <c r="L13" s="30">
        <v>-1</v>
      </c>
      <c r="M13" s="30">
        <v>-1</v>
      </c>
      <c r="N13" s="30">
        <v>-1</v>
      </c>
      <c r="O13" s="31">
        <v>-1</v>
      </c>
      <c r="P13" s="31">
        <v>12000</v>
      </c>
      <c r="Q13" s="30">
        <v>90</v>
      </c>
      <c r="R13" s="30">
        <v>18000</v>
      </c>
      <c r="S13" s="30">
        <v>90</v>
      </c>
      <c r="T13" s="30">
        <v>14000</v>
      </c>
      <c r="U13" s="31">
        <v>100</v>
      </c>
      <c r="V13" s="31">
        <v>99999</v>
      </c>
      <c r="W13" s="30">
        <v>1</v>
      </c>
      <c r="X13" s="31" t="s">
        <v>337</v>
      </c>
      <c r="Y13" s="30">
        <v>0</v>
      </c>
      <c r="Z13" s="30">
        <v>0</v>
      </c>
      <c r="AA13" s="30">
        <v>0</v>
      </c>
      <c r="AB13" s="30">
        <v>112</v>
      </c>
      <c r="AC13" s="31">
        <v>0</v>
      </c>
    </row>
    <row r="14" spans="1:29" x14ac:dyDescent="0.3">
      <c r="A14" s="30" t="s">
        <v>320</v>
      </c>
      <c r="B14" s="30" t="s">
        <v>210</v>
      </c>
      <c r="C14" s="30">
        <v>13</v>
      </c>
      <c r="D14" s="30">
        <v>1</v>
      </c>
      <c r="E14" s="30">
        <v>1</v>
      </c>
      <c r="F14" s="31">
        <v>65</v>
      </c>
      <c r="G14" s="31">
        <v>200</v>
      </c>
      <c r="H14" s="30">
        <v>4</v>
      </c>
      <c r="I14" s="31">
        <v>50</v>
      </c>
      <c r="J14" s="31">
        <v>310</v>
      </c>
      <c r="K14" s="30">
        <v>-1</v>
      </c>
      <c r="L14" s="30">
        <v>-1</v>
      </c>
      <c r="M14" s="30">
        <v>-1</v>
      </c>
      <c r="N14" s="30">
        <v>-1</v>
      </c>
      <c r="O14" s="31">
        <v>-1</v>
      </c>
      <c r="P14" s="31">
        <v>12000</v>
      </c>
      <c r="Q14" s="30">
        <v>90</v>
      </c>
      <c r="R14" s="30">
        <v>18000</v>
      </c>
      <c r="S14" s="30">
        <v>90</v>
      </c>
      <c r="T14" s="30">
        <v>14000</v>
      </c>
      <c r="U14" s="31">
        <v>650</v>
      </c>
      <c r="V14" s="31">
        <v>99999</v>
      </c>
      <c r="W14" s="30">
        <v>1</v>
      </c>
      <c r="X14" s="31" t="s">
        <v>323</v>
      </c>
      <c r="Y14" s="30">
        <v>0</v>
      </c>
      <c r="Z14" s="30">
        <v>0</v>
      </c>
      <c r="AA14" s="30">
        <v>0</v>
      </c>
      <c r="AB14" s="30">
        <v>113</v>
      </c>
      <c r="AC14" s="31">
        <v>0</v>
      </c>
    </row>
    <row r="15" spans="1:29" x14ac:dyDescent="0.3">
      <c r="A15" s="30" t="s">
        <v>320</v>
      </c>
      <c r="B15" s="30" t="s">
        <v>210</v>
      </c>
      <c r="C15" s="30">
        <v>14</v>
      </c>
      <c r="D15" s="30">
        <v>2</v>
      </c>
      <c r="E15" s="30">
        <v>1</v>
      </c>
      <c r="F15" s="31">
        <v>65</v>
      </c>
      <c r="G15" s="31">
        <v>200</v>
      </c>
      <c r="H15" s="30">
        <v>4</v>
      </c>
      <c r="I15" s="31">
        <v>50</v>
      </c>
      <c r="J15" s="31">
        <v>310</v>
      </c>
      <c r="K15" s="30">
        <v>-1</v>
      </c>
      <c r="L15" s="30">
        <v>-1</v>
      </c>
      <c r="M15" s="30">
        <v>-1</v>
      </c>
      <c r="N15" s="30">
        <v>-1</v>
      </c>
      <c r="O15" s="31">
        <v>-1</v>
      </c>
      <c r="P15" s="31">
        <v>12000</v>
      </c>
      <c r="Q15" s="30">
        <v>90</v>
      </c>
      <c r="R15" s="30">
        <v>18000</v>
      </c>
      <c r="S15" s="30">
        <v>90</v>
      </c>
      <c r="T15" s="30">
        <v>14000</v>
      </c>
      <c r="U15" s="31">
        <v>650</v>
      </c>
      <c r="V15" s="31">
        <v>99999</v>
      </c>
      <c r="W15" s="30">
        <v>1</v>
      </c>
      <c r="X15" s="31" t="s">
        <v>323</v>
      </c>
      <c r="Y15" s="30">
        <v>0</v>
      </c>
      <c r="Z15" s="30">
        <v>0</v>
      </c>
      <c r="AA15" s="30">
        <v>0</v>
      </c>
      <c r="AB15" s="30">
        <v>114</v>
      </c>
      <c r="AC15" s="31">
        <v>0</v>
      </c>
    </row>
    <row r="16" spans="1:29" x14ac:dyDescent="0.3">
      <c r="A16" s="30" t="s">
        <v>320</v>
      </c>
      <c r="B16" s="30" t="s">
        <v>210</v>
      </c>
      <c r="C16" s="30">
        <v>15</v>
      </c>
      <c r="D16" s="30">
        <v>1</v>
      </c>
      <c r="E16" s="30">
        <v>1</v>
      </c>
      <c r="F16" s="31">
        <v>63</v>
      </c>
      <c r="G16" s="31">
        <v>200</v>
      </c>
      <c r="H16" s="30">
        <v>4</v>
      </c>
      <c r="I16" s="31">
        <v>50</v>
      </c>
      <c r="J16" s="31">
        <v>310</v>
      </c>
      <c r="K16" s="30">
        <v>-1</v>
      </c>
      <c r="L16" s="30">
        <v>-1</v>
      </c>
      <c r="M16" s="30">
        <v>-1</v>
      </c>
      <c r="N16" s="30">
        <v>-1</v>
      </c>
      <c r="O16" s="31">
        <v>-1</v>
      </c>
      <c r="P16" s="31">
        <v>12000</v>
      </c>
      <c r="Q16" s="30">
        <v>90</v>
      </c>
      <c r="R16" s="30">
        <v>18000</v>
      </c>
      <c r="S16" s="30">
        <v>90</v>
      </c>
      <c r="T16" s="30">
        <v>14000</v>
      </c>
      <c r="U16" s="31">
        <v>700</v>
      </c>
      <c r="V16" s="31">
        <v>99999</v>
      </c>
      <c r="W16" s="30">
        <v>1</v>
      </c>
      <c r="X16" s="31" t="s">
        <v>323</v>
      </c>
      <c r="Y16" s="30">
        <v>0</v>
      </c>
      <c r="Z16" s="30">
        <v>0</v>
      </c>
      <c r="AA16" s="30">
        <v>0</v>
      </c>
      <c r="AB16" s="30">
        <v>115</v>
      </c>
      <c r="AC16" s="31">
        <v>0</v>
      </c>
    </row>
    <row r="17" spans="1:29" x14ac:dyDescent="0.3">
      <c r="A17" s="30" t="s">
        <v>320</v>
      </c>
      <c r="B17" s="30" t="s">
        <v>210</v>
      </c>
      <c r="C17" s="30">
        <v>16</v>
      </c>
      <c r="D17" s="30">
        <v>2</v>
      </c>
      <c r="E17" s="30">
        <v>1</v>
      </c>
      <c r="F17" s="31">
        <v>63</v>
      </c>
      <c r="G17" s="31">
        <v>200</v>
      </c>
      <c r="H17" s="30">
        <v>4</v>
      </c>
      <c r="I17" s="31">
        <v>50</v>
      </c>
      <c r="J17" s="31">
        <v>310</v>
      </c>
      <c r="K17" s="30">
        <v>-1</v>
      </c>
      <c r="L17" s="30">
        <v>-1</v>
      </c>
      <c r="M17" s="30">
        <v>-1</v>
      </c>
      <c r="N17" s="30">
        <v>-1</v>
      </c>
      <c r="O17" s="31">
        <v>-1</v>
      </c>
      <c r="P17" s="31">
        <v>12000</v>
      </c>
      <c r="Q17" s="30">
        <v>90</v>
      </c>
      <c r="R17" s="30">
        <v>18000</v>
      </c>
      <c r="S17" s="30">
        <v>90</v>
      </c>
      <c r="T17" s="30">
        <v>14000</v>
      </c>
      <c r="U17" s="31">
        <v>700</v>
      </c>
      <c r="V17" s="31">
        <v>99999</v>
      </c>
      <c r="W17" s="30">
        <v>1</v>
      </c>
      <c r="X17" s="31" t="s">
        <v>323</v>
      </c>
      <c r="Y17" s="30">
        <v>0</v>
      </c>
      <c r="Z17" s="30">
        <v>0</v>
      </c>
      <c r="AA17" s="30">
        <v>0</v>
      </c>
      <c r="AB17" s="30">
        <v>116</v>
      </c>
      <c r="AC17" s="31">
        <v>0</v>
      </c>
    </row>
    <row r="18" spans="1:29" x14ac:dyDescent="0.3">
      <c r="A18" s="30" t="s">
        <v>320</v>
      </c>
      <c r="B18" s="30" t="s">
        <v>210</v>
      </c>
      <c r="C18" s="30">
        <v>17</v>
      </c>
      <c r="D18" s="30">
        <v>1</v>
      </c>
      <c r="E18" s="30">
        <v>1</v>
      </c>
      <c r="F18" s="31">
        <v>59</v>
      </c>
      <c r="G18" s="31">
        <v>150</v>
      </c>
      <c r="H18" s="30">
        <v>4</v>
      </c>
      <c r="I18" s="31">
        <v>50</v>
      </c>
      <c r="J18" s="31">
        <v>310</v>
      </c>
      <c r="K18" s="30">
        <v>-1</v>
      </c>
      <c r="L18" s="30">
        <v>-1</v>
      </c>
      <c r="M18" s="30">
        <v>-1</v>
      </c>
      <c r="N18" s="30">
        <v>-1</v>
      </c>
      <c r="O18" s="31">
        <v>-1</v>
      </c>
      <c r="P18" s="31">
        <v>12000</v>
      </c>
      <c r="Q18" s="30">
        <v>90</v>
      </c>
      <c r="R18" s="30">
        <v>18000</v>
      </c>
      <c r="S18" s="30">
        <v>90</v>
      </c>
      <c r="T18" s="30">
        <v>14000</v>
      </c>
      <c r="U18" s="31">
        <v>800</v>
      </c>
      <c r="V18" s="31">
        <v>99999</v>
      </c>
      <c r="W18" s="30">
        <v>1</v>
      </c>
      <c r="X18" s="31" t="s">
        <v>335</v>
      </c>
      <c r="Y18" s="30">
        <v>0</v>
      </c>
      <c r="Z18" s="30">
        <v>0</v>
      </c>
      <c r="AA18" s="30">
        <v>0</v>
      </c>
      <c r="AB18" s="30">
        <v>117</v>
      </c>
      <c r="AC18" s="31">
        <v>0</v>
      </c>
    </row>
    <row r="19" spans="1:29" x14ac:dyDescent="0.3">
      <c r="A19" s="30" t="s">
        <v>320</v>
      </c>
      <c r="B19" s="30" t="s">
        <v>210</v>
      </c>
      <c r="C19" s="30">
        <v>18</v>
      </c>
      <c r="D19" s="30">
        <v>2</v>
      </c>
      <c r="E19" s="30">
        <v>1</v>
      </c>
      <c r="F19" s="31">
        <v>59</v>
      </c>
      <c r="G19" s="31">
        <v>150</v>
      </c>
      <c r="H19" s="30">
        <v>4</v>
      </c>
      <c r="I19" s="31">
        <v>50</v>
      </c>
      <c r="J19" s="31">
        <v>310</v>
      </c>
      <c r="K19" s="30">
        <v>-1</v>
      </c>
      <c r="L19" s="30">
        <v>-1</v>
      </c>
      <c r="M19" s="30">
        <v>-1</v>
      </c>
      <c r="N19" s="30">
        <v>-1</v>
      </c>
      <c r="O19" s="31">
        <v>-1</v>
      </c>
      <c r="P19" s="31">
        <v>12000</v>
      </c>
      <c r="Q19" s="30">
        <v>90</v>
      </c>
      <c r="R19" s="30">
        <v>18000</v>
      </c>
      <c r="S19" s="30">
        <v>90</v>
      </c>
      <c r="T19" s="30">
        <v>14000</v>
      </c>
      <c r="U19" s="31">
        <v>800</v>
      </c>
      <c r="V19" s="31">
        <v>99999</v>
      </c>
      <c r="W19" s="30">
        <v>1</v>
      </c>
      <c r="X19" s="31" t="s">
        <v>335</v>
      </c>
      <c r="Y19" s="30">
        <v>0</v>
      </c>
      <c r="Z19" s="30">
        <v>0</v>
      </c>
      <c r="AA19" s="30">
        <v>0</v>
      </c>
      <c r="AB19" s="30">
        <v>118</v>
      </c>
      <c r="AC19" s="31">
        <v>0</v>
      </c>
    </row>
    <row r="20" spans="1:29" x14ac:dyDescent="0.3">
      <c r="A20" s="30" t="s">
        <v>320</v>
      </c>
      <c r="B20" s="30" t="s">
        <v>210</v>
      </c>
      <c r="C20" s="30">
        <v>19</v>
      </c>
      <c r="D20" s="30">
        <v>1</v>
      </c>
      <c r="E20" s="30">
        <v>1</v>
      </c>
      <c r="F20" s="31">
        <v>28</v>
      </c>
      <c r="G20" s="31">
        <v>200</v>
      </c>
      <c r="H20" s="30">
        <v>4</v>
      </c>
      <c r="I20" s="31">
        <v>50</v>
      </c>
      <c r="J20" s="31">
        <v>310</v>
      </c>
      <c r="K20" s="30">
        <v>-1</v>
      </c>
      <c r="L20" s="30">
        <v>-1</v>
      </c>
      <c r="M20" s="30">
        <v>-1</v>
      </c>
      <c r="N20" s="30">
        <v>-1</v>
      </c>
      <c r="O20" s="31">
        <v>-1</v>
      </c>
      <c r="P20" s="31">
        <v>12000</v>
      </c>
      <c r="Q20" s="30">
        <v>90</v>
      </c>
      <c r="R20" s="30">
        <v>18000</v>
      </c>
      <c r="S20" s="30">
        <v>90</v>
      </c>
      <c r="T20" s="30">
        <v>14000</v>
      </c>
      <c r="U20" s="31">
        <v>500</v>
      </c>
      <c r="V20" s="31">
        <v>99999</v>
      </c>
      <c r="W20" s="30">
        <v>1</v>
      </c>
      <c r="X20" s="31" t="s">
        <v>335</v>
      </c>
      <c r="Y20" s="30">
        <v>0</v>
      </c>
      <c r="Z20" s="30">
        <v>0</v>
      </c>
      <c r="AA20" s="30">
        <v>0</v>
      </c>
      <c r="AB20" s="30">
        <v>119</v>
      </c>
      <c r="AC20" s="31">
        <v>0</v>
      </c>
    </row>
    <row r="21" spans="1:29" x14ac:dyDescent="0.3">
      <c r="A21" s="30" t="s">
        <v>320</v>
      </c>
      <c r="B21" s="30" t="s">
        <v>210</v>
      </c>
      <c r="C21" s="30">
        <v>20</v>
      </c>
      <c r="D21" s="30">
        <v>2</v>
      </c>
      <c r="E21" s="30">
        <v>1</v>
      </c>
      <c r="F21" s="31">
        <v>28</v>
      </c>
      <c r="G21" s="31">
        <v>200</v>
      </c>
      <c r="H21" s="30">
        <v>4</v>
      </c>
      <c r="I21" s="31">
        <v>50</v>
      </c>
      <c r="J21" s="31">
        <v>310</v>
      </c>
      <c r="K21" s="30">
        <v>-1</v>
      </c>
      <c r="L21" s="30">
        <v>-1</v>
      </c>
      <c r="M21" s="30">
        <v>-1</v>
      </c>
      <c r="N21" s="30">
        <v>-1</v>
      </c>
      <c r="O21" s="31">
        <v>-1</v>
      </c>
      <c r="P21" s="31">
        <v>12000</v>
      </c>
      <c r="Q21" s="30">
        <v>90</v>
      </c>
      <c r="R21" s="30">
        <v>18000</v>
      </c>
      <c r="S21" s="30">
        <v>90</v>
      </c>
      <c r="T21" s="30">
        <v>14000</v>
      </c>
      <c r="U21" s="31">
        <v>500</v>
      </c>
      <c r="V21" s="31">
        <v>99999</v>
      </c>
      <c r="W21" s="30">
        <v>1</v>
      </c>
      <c r="X21" s="31" t="s">
        <v>335</v>
      </c>
      <c r="Y21" s="30">
        <v>0</v>
      </c>
      <c r="Z21" s="30">
        <v>0</v>
      </c>
      <c r="AA21" s="30">
        <v>0</v>
      </c>
      <c r="AB21" s="30">
        <v>120</v>
      </c>
      <c r="AC21" s="31">
        <v>0</v>
      </c>
    </row>
    <row r="22" spans="1:29" x14ac:dyDescent="0.3">
      <c r="A22" s="30" t="s">
        <v>320</v>
      </c>
      <c r="B22" s="30" t="s">
        <v>210</v>
      </c>
      <c r="C22" s="30">
        <v>21</v>
      </c>
      <c r="D22" s="30">
        <v>1</v>
      </c>
      <c r="E22" s="30">
        <v>1</v>
      </c>
      <c r="F22" s="31">
        <v>33</v>
      </c>
      <c r="G22" s="31">
        <v>200</v>
      </c>
      <c r="H22" s="30">
        <v>4</v>
      </c>
      <c r="I22" s="31">
        <v>50</v>
      </c>
      <c r="J22" s="31">
        <v>310</v>
      </c>
      <c r="K22" s="30">
        <v>-1</v>
      </c>
      <c r="L22" s="30">
        <v>-1</v>
      </c>
      <c r="M22" s="30">
        <v>-1</v>
      </c>
      <c r="N22" s="30">
        <v>-1</v>
      </c>
      <c r="O22" s="31">
        <v>-1</v>
      </c>
      <c r="P22" s="31">
        <v>12000</v>
      </c>
      <c r="Q22" s="30">
        <v>90</v>
      </c>
      <c r="R22" s="30">
        <v>18000</v>
      </c>
      <c r="S22" s="30">
        <v>90</v>
      </c>
      <c r="T22" s="30">
        <v>14000</v>
      </c>
      <c r="U22" s="31">
        <v>600</v>
      </c>
      <c r="V22" s="31">
        <v>99999</v>
      </c>
      <c r="W22" s="30">
        <v>1</v>
      </c>
      <c r="X22" s="31" t="s">
        <v>335</v>
      </c>
      <c r="Y22" s="30">
        <v>0</v>
      </c>
      <c r="Z22" s="30">
        <v>0</v>
      </c>
      <c r="AA22" s="30">
        <v>0</v>
      </c>
      <c r="AB22" s="30">
        <v>121</v>
      </c>
      <c r="AC22" s="31">
        <v>0</v>
      </c>
    </row>
    <row r="23" spans="1:29" x14ac:dyDescent="0.3">
      <c r="A23" s="30" t="s">
        <v>320</v>
      </c>
      <c r="B23" s="30" t="s">
        <v>210</v>
      </c>
      <c r="C23" s="30">
        <v>22</v>
      </c>
      <c r="D23" s="30">
        <v>2</v>
      </c>
      <c r="E23" s="30">
        <v>1</v>
      </c>
      <c r="F23" s="31">
        <v>33</v>
      </c>
      <c r="G23" s="31">
        <v>200</v>
      </c>
      <c r="H23" s="30">
        <v>4</v>
      </c>
      <c r="I23" s="31">
        <v>50</v>
      </c>
      <c r="J23" s="31">
        <v>310</v>
      </c>
      <c r="K23" s="30">
        <v>-1</v>
      </c>
      <c r="L23" s="30">
        <v>-1</v>
      </c>
      <c r="M23" s="30">
        <v>-1</v>
      </c>
      <c r="N23" s="30">
        <v>-1</v>
      </c>
      <c r="O23" s="31">
        <v>-1</v>
      </c>
      <c r="P23" s="31">
        <v>12000</v>
      </c>
      <c r="Q23" s="30">
        <v>90</v>
      </c>
      <c r="R23" s="30">
        <v>18000</v>
      </c>
      <c r="S23" s="30">
        <v>90</v>
      </c>
      <c r="T23" s="30">
        <v>14000</v>
      </c>
      <c r="U23" s="31">
        <v>600</v>
      </c>
      <c r="V23" s="31">
        <v>99999</v>
      </c>
      <c r="W23" s="30">
        <v>1</v>
      </c>
      <c r="X23" s="31" t="s">
        <v>335</v>
      </c>
      <c r="Y23" s="30">
        <v>0</v>
      </c>
      <c r="Z23" s="30">
        <v>0</v>
      </c>
      <c r="AA23" s="30">
        <v>0</v>
      </c>
      <c r="AB23" s="30">
        <v>122</v>
      </c>
      <c r="AC23" s="31">
        <v>0</v>
      </c>
    </row>
    <row r="24" spans="1:29" x14ac:dyDescent="0.3">
      <c r="A24" s="30" t="s">
        <v>320</v>
      </c>
      <c r="B24" s="30" t="s">
        <v>210</v>
      </c>
      <c r="C24" s="30">
        <v>23</v>
      </c>
      <c r="D24" s="30">
        <v>1</v>
      </c>
      <c r="E24" s="30">
        <v>1</v>
      </c>
      <c r="F24" s="31">
        <v>31</v>
      </c>
      <c r="G24" s="31">
        <v>200</v>
      </c>
      <c r="H24" s="30">
        <v>4</v>
      </c>
      <c r="I24" s="31">
        <v>50</v>
      </c>
      <c r="J24" s="31">
        <v>310</v>
      </c>
      <c r="K24" s="30">
        <v>-1</v>
      </c>
      <c r="L24" s="30">
        <v>-1</v>
      </c>
      <c r="M24" s="30">
        <v>-1</v>
      </c>
      <c r="N24" s="30">
        <v>-1</v>
      </c>
      <c r="O24" s="31">
        <v>-1</v>
      </c>
      <c r="P24" s="31">
        <v>12000</v>
      </c>
      <c r="Q24" s="30">
        <v>90</v>
      </c>
      <c r="R24" s="30">
        <v>18000</v>
      </c>
      <c r="S24" s="30">
        <v>90</v>
      </c>
      <c r="T24" s="30">
        <v>14000</v>
      </c>
      <c r="U24" s="31">
        <v>1500</v>
      </c>
      <c r="V24" s="31">
        <v>99999</v>
      </c>
      <c r="W24" s="30">
        <v>1</v>
      </c>
      <c r="X24" s="31" t="s">
        <v>335</v>
      </c>
      <c r="Y24" s="30">
        <v>0</v>
      </c>
      <c r="Z24" s="30">
        <v>0</v>
      </c>
      <c r="AA24" s="30">
        <v>0</v>
      </c>
      <c r="AB24" s="30">
        <v>123</v>
      </c>
      <c r="AC24" s="31">
        <v>0</v>
      </c>
    </row>
    <row r="25" spans="1:29" x14ac:dyDescent="0.3">
      <c r="A25" s="30" t="s">
        <v>320</v>
      </c>
      <c r="B25" s="30" t="s">
        <v>210</v>
      </c>
      <c r="C25" s="30">
        <v>24</v>
      </c>
      <c r="D25" s="30">
        <v>2</v>
      </c>
      <c r="E25" s="30">
        <v>1</v>
      </c>
      <c r="F25" s="31">
        <v>31</v>
      </c>
      <c r="G25" s="31">
        <v>200</v>
      </c>
      <c r="H25" s="30">
        <v>4</v>
      </c>
      <c r="I25" s="31">
        <v>50</v>
      </c>
      <c r="J25" s="31">
        <v>310</v>
      </c>
      <c r="K25" s="30">
        <v>-1</v>
      </c>
      <c r="L25" s="30">
        <v>-1</v>
      </c>
      <c r="M25" s="30">
        <v>-1</v>
      </c>
      <c r="N25" s="30">
        <v>-1</v>
      </c>
      <c r="O25" s="31">
        <v>-1</v>
      </c>
      <c r="P25" s="31">
        <v>12000</v>
      </c>
      <c r="Q25" s="30">
        <v>90</v>
      </c>
      <c r="R25" s="30">
        <v>18000</v>
      </c>
      <c r="S25" s="30">
        <v>90</v>
      </c>
      <c r="T25" s="30">
        <v>14000</v>
      </c>
      <c r="U25" s="31">
        <v>1500</v>
      </c>
      <c r="V25" s="31">
        <v>99999</v>
      </c>
      <c r="W25" s="30">
        <v>1</v>
      </c>
      <c r="X25" s="31" t="s">
        <v>335</v>
      </c>
      <c r="Y25" s="30">
        <v>0</v>
      </c>
      <c r="Z25" s="30">
        <v>0</v>
      </c>
      <c r="AA25" s="30">
        <v>0</v>
      </c>
      <c r="AB25" s="30">
        <v>124</v>
      </c>
      <c r="AC25" s="31">
        <v>0</v>
      </c>
    </row>
    <row r="26" spans="1:29" x14ac:dyDescent="0.3">
      <c r="A26" s="30" t="s">
        <v>320</v>
      </c>
      <c r="B26" s="30" t="s">
        <v>210</v>
      </c>
      <c r="C26" s="30">
        <v>25</v>
      </c>
      <c r="D26" s="30">
        <v>1</v>
      </c>
      <c r="E26" s="30">
        <v>1</v>
      </c>
      <c r="F26" s="31">
        <v>29</v>
      </c>
      <c r="G26" s="31">
        <v>180</v>
      </c>
      <c r="H26" s="30">
        <v>4</v>
      </c>
      <c r="I26" s="31">
        <v>50</v>
      </c>
      <c r="J26" s="31">
        <v>310</v>
      </c>
      <c r="K26" s="30">
        <v>-1</v>
      </c>
      <c r="L26" s="30">
        <v>-1</v>
      </c>
      <c r="M26" s="30">
        <v>-1</v>
      </c>
      <c r="N26" s="30">
        <v>-1</v>
      </c>
      <c r="O26" s="31">
        <v>-1</v>
      </c>
      <c r="P26" s="31">
        <v>12000</v>
      </c>
      <c r="Q26" s="30">
        <v>90</v>
      </c>
      <c r="R26" s="30">
        <v>18000</v>
      </c>
      <c r="S26" s="30">
        <v>90</v>
      </c>
      <c r="T26" s="30">
        <v>14000</v>
      </c>
      <c r="U26" s="31">
        <v>550</v>
      </c>
      <c r="V26" s="31">
        <v>99999</v>
      </c>
      <c r="W26" s="30">
        <v>1</v>
      </c>
      <c r="X26" s="31" t="s">
        <v>335</v>
      </c>
      <c r="Y26" s="30">
        <v>0</v>
      </c>
      <c r="Z26" s="30">
        <v>0</v>
      </c>
      <c r="AA26" s="30">
        <v>0</v>
      </c>
      <c r="AB26" s="30">
        <v>125</v>
      </c>
      <c r="AC26" s="31">
        <v>0</v>
      </c>
    </row>
    <row r="27" spans="1:29" x14ac:dyDescent="0.3">
      <c r="A27" s="30" t="s">
        <v>320</v>
      </c>
      <c r="B27" s="30" t="s">
        <v>210</v>
      </c>
      <c r="C27" s="30">
        <v>26</v>
      </c>
      <c r="D27" s="30">
        <v>2</v>
      </c>
      <c r="E27" s="30">
        <v>1</v>
      </c>
      <c r="F27" s="31">
        <v>29</v>
      </c>
      <c r="G27" s="31">
        <v>180</v>
      </c>
      <c r="H27" s="30">
        <v>4</v>
      </c>
      <c r="I27" s="31">
        <v>50</v>
      </c>
      <c r="J27" s="31">
        <v>310</v>
      </c>
      <c r="K27" s="30">
        <v>-1</v>
      </c>
      <c r="L27" s="30">
        <v>-1</v>
      </c>
      <c r="M27" s="30">
        <v>-1</v>
      </c>
      <c r="N27" s="30">
        <v>-1</v>
      </c>
      <c r="O27" s="31">
        <v>-1</v>
      </c>
      <c r="P27" s="31">
        <v>12000</v>
      </c>
      <c r="Q27" s="30">
        <v>90</v>
      </c>
      <c r="R27" s="30">
        <v>18000</v>
      </c>
      <c r="S27" s="30">
        <v>90</v>
      </c>
      <c r="T27" s="30">
        <v>14000</v>
      </c>
      <c r="U27" s="31">
        <v>550</v>
      </c>
      <c r="V27" s="31">
        <v>99999</v>
      </c>
      <c r="W27" s="30">
        <v>1</v>
      </c>
      <c r="X27" s="31" t="s">
        <v>335</v>
      </c>
      <c r="Y27" s="30">
        <v>0</v>
      </c>
      <c r="Z27" s="30">
        <v>0</v>
      </c>
      <c r="AA27" s="30">
        <v>0</v>
      </c>
      <c r="AB27" s="30">
        <v>126</v>
      </c>
      <c r="AC27" s="31">
        <v>0</v>
      </c>
    </row>
    <row r="28" spans="1:29" x14ac:dyDescent="0.3">
      <c r="A28" s="30" t="s">
        <v>320</v>
      </c>
      <c r="B28" s="30" t="s">
        <v>210</v>
      </c>
      <c r="C28" s="30">
        <v>27</v>
      </c>
      <c r="D28" s="30">
        <v>1</v>
      </c>
      <c r="E28" s="30">
        <v>1</v>
      </c>
      <c r="F28" s="31">
        <v>77</v>
      </c>
      <c r="G28" s="31">
        <v>100</v>
      </c>
      <c r="H28" s="30">
        <v>4</v>
      </c>
      <c r="I28" s="31">
        <v>50</v>
      </c>
      <c r="J28" s="31">
        <v>310</v>
      </c>
      <c r="K28" s="30">
        <v>-1</v>
      </c>
      <c r="L28" s="30">
        <v>-1</v>
      </c>
      <c r="M28" s="30">
        <v>-1</v>
      </c>
      <c r="N28" s="30">
        <v>-1</v>
      </c>
      <c r="O28" s="31">
        <v>-1</v>
      </c>
      <c r="P28" s="31">
        <v>12000</v>
      </c>
      <c r="Q28" s="30">
        <v>90</v>
      </c>
      <c r="R28" s="30">
        <v>18000</v>
      </c>
      <c r="S28" s="30">
        <v>90</v>
      </c>
      <c r="T28" s="30">
        <v>14000</v>
      </c>
      <c r="U28" s="31">
        <v>1800</v>
      </c>
      <c r="V28" s="31">
        <v>99999</v>
      </c>
      <c r="W28" s="30">
        <v>1</v>
      </c>
      <c r="X28" s="31" t="s">
        <v>336</v>
      </c>
      <c r="Y28" s="30">
        <v>0</v>
      </c>
      <c r="Z28" s="30">
        <v>0</v>
      </c>
      <c r="AA28" s="30">
        <v>0</v>
      </c>
      <c r="AB28" s="30">
        <v>127</v>
      </c>
      <c r="AC28" s="31">
        <v>0</v>
      </c>
    </row>
    <row r="29" spans="1:29" x14ac:dyDescent="0.3">
      <c r="A29" s="30" t="s">
        <v>320</v>
      </c>
      <c r="B29" s="30" t="s">
        <v>210</v>
      </c>
      <c r="C29" s="30">
        <v>28</v>
      </c>
      <c r="D29" s="30">
        <v>2</v>
      </c>
      <c r="E29" s="30">
        <v>1</v>
      </c>
      <c r="F29" s="31">
        <v>77</v>
      </c>
      <c r="G29" s="31">
        <v>100</v>
      </c>
      <c r="H29" s="30">
        <v>4</v>
      </c>
      <c r="I29" s="31">
        <v>50</v>
      </c>
      <c r="J29" s="31">
        <v>310</v>
      </c>
      <c r="K29" s="30">
        <v>-1</v>
      </c>
      <c r="L29" s="30">
        <v>-1</v>
      </c>
      <c r="M29" s="30">
        <v>-1</v>
      </c>
      <c r="N29" s="30">
        <v>-1</v>
      </c>
      <c r="O29" s="31">
        <v>-1</v>
      </c>
      <c r="P29" s="31">
        <v>12000</v>
      </c>
      <c r="Q29" s="30">
        <v>90</v>
      </c>
      <c r="R29" s="30">
        <v>18000</v>
      </c>
      <c r="S29" s="30">
        <v>90</v>
      </c>
      <c r="T29" s="30">
        <v>14000</v>
      </c>
      <c r="U29" s="31">
        <v>1800</v>
      </c>
      <c r="V29" s="31">
        <v>99999</v>
      </c>
      <c r="W29" s="30">
        <v>1</v>
      </c>
      <c r="X29" s="31" t="s">
        <v>336</v>
      </c>
      <c r="Y29" s="30">
        <v>0</v>
      </c>
      <c r="Z29" s="30">
        <v>0</v>
      </c>
      <c r="AA29" s="30">
        <v>0</v>
      </c>
      <c r="AB29" s="30">
        <v>128</v>
      </c>
      <c r="AC29" s="31">
        <v>0</v>
      </c>
    </row>
    <row r="30" spans="1:29" x14ac:dyDescent="0.3">
      <c r="A30" s="30" t="s">
        <v>320</v>
      </c>
      <c r="B30" s="30" t="s">
        <v>210</v>
      </c>
      <c r="C30" s="30">
        <v>29</v>
      </c>
      <c r="D30" s="30">
        <v>1</v>
      </c>
      <c r="E30" s="30">
        <v>1</v>
      </c>
      <c r="F30" s="31">
        <v>75</v>
      </c>
      <c r="G30" s="31">
        <v>100</v>
      </c>
      <c r="H30" s="30">
        <v>4</v>
      </c>
      <c r="I30" s="31">
        <v>50</v>
      </c>
      <c r="J30" s="31">
        <v>310</v>
      </c>
      <c r="K30" s="30">
        <v>-1</v>
      </c>
      <c r="L30" s="30">
        <v>-1</v>
      </c>
      <c r="M30" s="30">
        <v>-1</v>
      </c>
      <c r="N30" s="30">
        <v>-1</v>
      </c>
      <c r="O30" s="31">
        <v>-1</v>
      </c>
      <c r="P30" s="31">
        <v>12000</v>
      </c>
      <c r="Q30" s="30">
        <v>90</v>
      </c>
      <c r="R30" s="30">
        <v>18000</v>
      </c>
      <c r="S30" s="30">
        <v>90</v>
      </c>
      <c r="T30" s="30">
        <v>14000</v>
      </c>
      <c r="U30" s="31">
        <v>2000</v>
      </c>
      <c r="V30" s="31">
        <v>99999</v>
      </c>
      <c r="W30" s="30">
        <v>1</v>
      </c>
      <c r="X30" s="31" t="s">
        <v>336</v>
      </c>
      <c r="Y30" s="30">
        <v>0</v>
      </c>
      <c r="Z30" s="30">
        <v>0</v>
      </c>
      <c r="AA30" s="30">
        <v>0</v>
      </c>
      <c r="AB30" s="30">
        <v>129</v>
      </c>
      <c r="AC30" s="31">
        <v>0</v>
      </c>
    </row>
    <row r="31" spans="1:29" x14ac:dyDescent="0.3">
      <c r="A31" s="30" t="s">
        <v>320</v>
      </c>
      <c r="B31" s="30" t="s">
        <v>210</v>
      </c>
      <c r="C31" s="30">
        <v>30</v>
      </c>
      <c r="D31" s="30">
        <v>2</v>
      </c>
      <c r="E31" s="30">
        <v>1</v>
      </c>
      <c r="F31" s="31">
        <v>75</v>
      </c>
      <c r="G31" s="31">
        <v>100</v>
      </c>
      <c r="H31" s="30">
        <v>4</v>
      </c>
      <c r="I31" s="31">
        <v>50</v>
      </c>
      <c r="J31" s="31">
        <v>310</v>
      </c>
      <c r="K31" s="30">
        <v>-1</v>
      </c>
      <c r="L31" s="30">
        <v>-1</v>
      </c>
      <c r="M31" s="30">
        <v>-1</v>
      </c>
      <c r="N31" s="30">
        <v>-1</v>
      </c>
      <c r="O31" s="31">
        <v>-1</v>
      </c>
      <c r="P31" s="31">
        <v>12000</v>
      </c>
      <c r="Q31" s="30">
        <v>90</v>
      </c>
      <c r="R31" s="30">
        <v>18000</v>
      </c>
      <c r="S31" s="30">
        <v>90</v>
      </c>
      <c r="T31" s="30">
        <v>14000</v>
      </c>
      <c r="U31" s="31">
        <v>900</v>
      </c>
      <c r="V31" s="31">
        <v>99999</v>
      </c>
      <c r="W31" s="30">
        <v>1</v>
      </c>
      <c r="X31" s="31" t="s">
        <v>336</v>
      </c>
      <c r="Y31" s="30">
        <v>0</v>
      </c>
      <c r="Z31" s="30">
        <v>0</v>
      </c>
      <c r="AA31" s="30">
        <v>0</v>
      </c>
      <c r="AB31" s="30">
        <v>130</v>
      </c>
      <c r="AC31" s="31">
        <v>0</v>
      </c>
    </row>
    <row r="32" spans="1:29" x14ac:dyDescent="0.3">
      <c r="A32" s="30" t="s">
        <v>320</v>
      </c>
      <c r="B32" s="30" t="s">
        <v>210</v>
      </c>
      <c r="C32" s="30">
        <v>31</v>
      </c>
      <c r="D32" s="30">
        <v>1</v>
      </c>
      <c r="E32" s="30">
        <v>1</v>
      </c>
      <c r="F32" s="31">
        <v>60</v>
      </c>
      <c r="G32" s="31">
        <v>150</v>
      </c>
      <c r="H32" s="30">
        <v>4</v>
      </c>
      <c r="I32" s="31">
        <v>50</v>
      </c>
      <c r="J32" s="31">
        <v>310</v>
      </c>
      <c r="K32" s="30">
        <v>-1</v>
      </c>
      <c r="L32" s="30">
        <v>-1</v>
      </c>
      <c r="M32" s="30">
        <v>-1</v>
      </c>
      <c r="N32" s="30">
        <v>-1</v>
      </c>
      <c r="O32" s="31">
        <v>-1</v>
      </c>
      <c r="P32" s="31">
        <v>12000</v>
      </c>
      <c r="Q32" s="30">
        <v>90</v>
      </c>
      <c r="R32" s="30">
        <v>18000</v>
      </c>
      <c r="S32" s="30">
        <v>90</v>
      </c>
      <c r="T32" s="30">
        <v>14000</v>
      </c>
      <c r="U32" s="31">
        <v>900</v>
      </c>
      <c r="V32" s="31">
        <v>99999</v>
      </c>
      <c r="W32" s="30">
        <v>1</v>
      </c>
      <c r="X32" s="31" t="s">
        <v>336</v>
      </c>
      <c r="Y32" s="30">
        <v>0</v>
      </c>
      <c r="Z32" s="30">
        <v>0</v>
      </c>
      <c r="AA32" s="30">
        <v>0</v>
      </c>
      <c r="AB32" s="30">
        <v>131</v>
      </c>
      <c r="AC32" s="31">
        <v>0</v>
      </c>
    </row>
    <row r="33" spans="1:29" x14ac:dyDescent="0.3">
      <c r="A33" s="30" t="s">
        <v>320</v>
      </c>
      <c r="B33" s="30" t="s">
        <v>210</v>
      </c>
      <c r="C33" s="30">
        <v>32</v>
      </c>
      <c r="D33" s="30">
        <v>2</v>
      </c>
      <c r="E33" s="30">
        <v>1</v>
      </c>
      <c r="F33" s="31">
        <v>60</v>
      </c>
      <c r="G33" s="31">
        <v>150</v>
      </c>
      <c r="H33" s="30">
        <v>4</v>
      </c>
      <c r="I33" s="31">
        <v>50</v>
      </c>
      <c r="J33" s="31">
        <v>310</v>
      </c>
      <c r="K33" s="30">
        <v>-1</v>
      </c>
      <c r="L33" s="30">
        <v>-1</v>
      </c>
      <c r="M33" s="30">
        <v>-1</v>
      </c>
      <c r="N33" s="30">
        <v>-1</v>
      </c>
      <c r="O33" s="31">
        <v>-1</v>
      </c>
      <c r="P33" s="31">
        <v>12000</v>
      </c>
      <c r="Q33" s="30">
        <v>90</v>
      </c>
      <c r="R33" s="30">
        <v>18000</v>
      </c>
      <c r="S33" s="30">
        <v>90</v>
      </c>
      <c r="T33" s="30">
        <v>14000</v>
      </c>
      <c r="U33" s="31">
        <v>1200</v>
      </c>
      <c r="V33" s="31">
        <v>99999</v>
      </c>
      <c r="W33" s="30">
        <v>1</v>
      </c>
      <c r="X33" s="31" t="s">
        <v>336</v>
      </c>
      <c r="Y33" s="30">
        <v>0</v>
      </c>
      <c r="Z33" s="30">
        <v>0</v>
      </c>
      <c r="AA33" s="30">
        <v>0</v>
      </c>
      <c r="AB33" s="30">
        <v>132</v>
      </c>
      <c r="AC33" s="31">
        <v>0</v>
      </c>
    </row>
    <row r="34" spans="1:29" x14ac:dyDescent="0.3">
      <c r="A34" s="30" t="s">
        <v>320</v>
      </c>
      <c r="B34" s="30" t="s">
        <v>210</v>
      </c>
      <c r="C34" s="30">
        <v>33</v>
      </c>
      <c r="D34" s="30">
        <v>1</v>
      </c>
      <c r="E34" s="30">
        <v>1</v>
      </c>
      <c r="F34" s="31">
        <v>76</v>
      </c>
      <c r="G34" s="31">
        <v>150</v>
      </c>
      <c r="H34" s="30">
        <v>4</v>
      </c>
      <c r="I34" s="31">
        <v>50</v>
      </c>
      <c r="J34" s="31">
        <v>310</v>
      </c>
      <c r="K34" s="30">
        <v>-1</v>
      </c>
      <c r="L34" s="30">
        <v>-1</v>
      </c>
      <c r="M34" s="30">
        <v>-1</v>
      </c>
      <c r="N34" s="30">
        <v>-1</v>
      </c>
      <c r="O34" s="31">
        <v>-1</v>
      </c>
      <c r="P34" s="31">
        <v>12000</v>
      </c>
      <c r="Q34" s="30">
        <v>90</v>
      </c>
      <c r="R34" s="30">
        <v>18000</v>
      </c>
      <c r="S34" s="30">
        <v>90</v>
      </c>
      <c r="T34" s="30">
        <v>14000</v>
      </c>
      <c r="U34" s="31">
        <v>1200</v>
      </c>
      <c r="V34" s="31">
        <v>99999</v>
      </c>
      <c r="W34" s="30">
        <v>1</v>
      </c>
      <c r="X34" s="31" t="s">
        <v>336</v>
      </c>
      <c r="Y34" s="30">
        <v>0</v>
      </c>
      <c r="Z34" s="30">
        <v>0</v>
      </c>
      <c r="AA34" s="30">
        <v>0</v>
      </c>
      <c r="AB34" s="30">
        <v>133</v>
      </c>
      <c r="AC34" s="31">
        <v>0</v>
      </c>
    </row>
    <row r="35" spans="1:29" x14ac:dyDescent="0.3">
      <c r="A35" s="30" t="s">
        <v>320</v>
      </c>
      <c r="B35" s="30" t="s">
        <v>210</v>
      </c>
      <c r="C35" s="30">
        <v>34</v>
      </c>
      <c r="D35" s="30">
        <v>2</v>
      </c>
      <c r="E35" s="30">
        <v>1</v>
      </c>
      <c r="F35" s="31">
        <v>76</v>
      </c>
      <c r="G35" s="31">
        <v>150</v>
      </c>
      <c r="H35" s="30">
        <v>4</v>
      </c>
      <c r="I35" s="31">
        <v>50</v>
      </c>
      <c r="J35" s="31">
        <v>310</v>
      </c>
      <c r="K35" s="30">
        <v>-1</v>
      </c>
      <c r="L35" s="30">
        <v>-1</v>
      </c>
      <c r="M35" s="30">
        <v>-1</v>
      </c>
      <c r="N35" s="30">
        <v>-1</v>
      </c>
      <c r="O35" s="31">
        <v>-1</v>
      </c>
      <c r="P35" s="31">
        <v>12000</v>
      </c>
      <c r="Q35" s="30">
        <v>90</v>
      </c>
      <c r="R35" s="30">
        <v>18000</v>
      </c>
      <c r="S35" s="30">
        <v>90</v>
      </c>
      <c r="T35" s="30">
        <v>14000</v>
      </c>
      <c r="U35" s="31">
        <v>1200</v>
      </c>
      <c r="V35" s="31">
        <v>99999</v>
      </c>
      <c r="W35" s="30">
        <v>1</v>
      </c>
      <c r="X35" s="31" t="s">
        <v>336</v>
      </c>
      <c r="Y35" s="30">
        <v>0</v>
      </c>
      <c r="Z35" s="30">
        <v>0</v>
      </c>
      <c r="AA35" s="30">
        <v>0</v>
      </c>
      <c r="AB35" s="30">
        <v>134</v>
      </c>
      <c r="AC35" s="31">
        <v>0</v>
      </c>
    </row>
    <row r="36" spans="1:29" x14ac:dyDescent="0.3">
      <c r="A36" s="30" t="s">
        <v>320</v>
      </c>
      <c r="B36" s="30" t="s">
        <v>210</v>
      </c>
      <c r="C36" s="30">
        <v>35</v>
      </c>
      <c r="D36" s="30">
        <v>1</v>
      </c>
      <c r="E36" s="30">
        <v>1</v>
      </c>
      <c r="F36" s="31">
        <v>71</v>
      </c>
      <c r="G36" s="31">
        <v>150</v>
      </c>
      <c r="H36" s="30">
        <v>4</v>
      </c>
      <c r="I36" s="31">
        <v>50</v>
      </c>
      <c r="J36" s="31">
        <v>310</v>
      </c>
      <c r="K36" s="30">
        <v>-1</v>
      </c>
      <c r="L36" s="30">
        <v>-1</v>
      </c>
      <c r="M36" s="30">
        <v>-1</v>
      </c>
      <c r="N36" s="30">
        <v>-1</v>
      </c>
      <c r="O36" s="31">
        <v>-1</v>
      </c>
      <c r="P36" s="31">
        <v>12000</v>
      </c>
      <c r="Q36" s="30">
        <v>90</v>
      </c>
      <c r="R36" s="30">
        <v>18000</v>
      </c>
      <c r="S36" s="30">
        <v>90</v>
      </c>
      <c r="T36" s="30">
        <v>14000</v>
      </c>
      <c r="U36" s="31">
        <v>2000</v>
      </c>
      <c r="V36" s="31">
        <v>99999</v>
      </c>
      <c r="W36" s="30">
        <v>1</v>
      </c>
      <c r="X36" s="31" t="s">
        <v>336</v>
      </c>
      <c r="Y36" s="30">
        <v>0</v>
      </c>
      <c r="Z36" s="30">
        <v>0</v>
      </c>
      <c r="AA36" s="30">
        <v>0</v>
      </c>
      <c r="AB36" s="30">
        <v>135</v>
      </c>
      <c r="AC36" s="31">
        <v>0</v>
      </c>
    </row>
    <row r="37" spans="1:29" x14ac:dyDescent="0.3">
      <c r="A37" s="30" t="s">
        <v>320</v>
      </c>
      <c r="B37" s="30" t="s">
        <v>210</v>
      </c>
      <c r="C37" s="30">
        <v>36</v>
      </c>
      <c r="D37" s="30">
        <v>2</v>
      </c>
      <c r="E37" s="30">
        <v>1</v>
      </c>
      <c r="F37" s="31">
        <v>71</v>
      </c>
      <c r="G37" s="31">
        <v>150</v>
      </c>
      <c r="H37" s="30">
        <v>4</v>
      </c>
      <c r="I37" s="31">
        <v>50</v>
      </c>
      <c r="J37" s="31">
        <v>310</v>
      </c>
      <c r="K37" s="30">
        <v>-1</v>
      </c>
      <c r="L37" s="30">
        <v>-1</v>
      </c>
      <c r="M37" s="30">
        <v>-1</v>
      </c>
      <c r="N37" s="30">
        <v>-1</v>
      </c>
      <c r="O37" s="31">
        <v>-1</v>
      </c>
      <c r="P37" s="31">
        <v>12000</v>
      </c>
      <c r="Q37" s="30">
        <v>90</v>
      </c>
      <c r="R37" s="30">
        <v>18000</v>
      </c>
      <c r="S37" s="30">
        <v>90</v>
      </c>
      <c r="T37" s="30">
        <v>14000</v>
      </c>
      <c r="U37" s="31">
        <v>2000</v>
      </c>
      <c r="V37" s="31">
        <v>99999</v>
      </c>
      <c r="W37" s="30">
        <v>1</v>
      </c>
      <c r="X37" s="31" t="s">
        <v>336</v>
      </c>
      <c r="Y37" s="30">
        <v>0</v>
      </c>
      <c r="Z37" s="30">
        <v>0</v>
      </c>
      <c r="AA37" s="30">
        <v>0</v>
      </c>
      <c r="AB37" s="30">
        <v>136</v>
      </c>
      <c r="AC37" s="31">
        <v>0</v>
      </c>
    </row>
    <row r="38" spans="1:29" x14ac:dyDescent="0.3">
      <c r="A38" s="30" t="s">
        <v>320</v>
      </c>
      <c r="B38" s="30" t="s">
        <v>210</v>
      </c>
      <c r="C38" s="30">
        <v>37</v>
      </c>
      <c r="D38" s="30">
        <v>1</v>
      </c>
      <c r="E38" s="30">
        <v>1</v>
      </c>
      <c r="F38" s="31">
        <v>78</v>
      </c>
      <c r="G38" s="31">
        <v>150</v>
      </c>
      <c r="H38" s="30">
        <v>4</v>
      </c>
      <c r="I38" s="31">
        <v>50</v>
      </c>
      <c r="J38" s="31">
        <v>310</v>
      </c>
      <c r="K38" s="30">
        <v>-1</v>
      </c>
      <c r="L38" s="30">
        <v>-1</v>
      </c>
      <c r="M38" s="30">
        <v>-1</v>
      </c>
      <c r="N38" s="30">
        <v>-1</v>
      </c>
      <c r="O38" s="31">
        <v>-1</v>
      </c>
      <c r="P38" s="31">
        <v>12000</v>
      </c>
      <c r="Q38" s="30">
        <v>90</v>
      </c>
      <c r="R38" s="30">
        <v>18000</v>
      </c>
      <c r="S38" s="30">
        <v>90</v>
      </c>
      <c r="T38" s="30">
        <v>14000</v>
      </c>
      <c r="U38" s="31">
        <v>1500</v>
      </c>
      <c r="V38" s="31">
        <v>99999</v>
      </c>
      <c r="W38" s="30">
        <v>1</v>
      </c>
      <c r="X38" s="31" t="s">
        <v>336</v>
      </c>
      <c r="Y38" s="30">
        <v>0</v>
      </c>
      <c r="Z38" s="30">
        <v>0</v>
      </c>
      <c r="AA38" s="30">
        <v>0</v>
      </c>
      <c r="AB38" s="30">
        <v>137</v>
      </c>
      <c r="AC38" s="31">
        <v>0</v>
      </c>
    </row>
    <row r="39" spans="1:29" x14ac:dyDescent="0.3">
      <c r="A39" s="30" t="s">
        <v>320</v>
      </c>
      <c r="B39" s="30" t="s">
        <v>210</v>
      </c>
      <c r="C39" s="30">
        <v>38</v>
      </c>
      <c r="D39" s="30">
        <v>2</v>
      </c>
      <c r="E39" s="30">
        <v>1</v>
      </c>
      <c r="F39" s="31">
        <v>78</v>
      </c>
      <c r="G39" s="31">
        <v>150</v>
      </c>
      <c r="H39" s="30">
        <v>4</v>
      </c>
      <c r="I39" s="31">
        <v>50</v>
      </c>
      <c r="J39" s="31">
        <v>310</v>
      </c>
      <c r="K39" s="30">
        <v>-1</v>
      </c>
      <c r="L39" s="30">
        <v>-1</v>
      </c>
      <c r="M39" s="30">
        <v>-1</v>
      </c>
      <c r="N39" s="30">
        <v>-1</v>
      </c>
      <c r="O39" s="31">
        <v>-1</v>
      </c>
      <c r="P39" s="31">
        <v>12000</v>
      </c>
      <c r="Q39" s="30">
        <v>90</v>
      </c>
      <c r="R39" s="30">
        <v>18000</v>
      </c>
      <c r="S39" s="30">
        <v>90</v>
      </c>
      <c r="T39" s="30">
        <v>14000</v>
      </c>
      <c r="U39" s="31">
        <v>1500</v>
      </c>
      <c r="V39" s="31">
        <v>99999</v>
      </c>
      <c r="W39" s="30">
        <v>1</v>
      </c>
      <c r="X39" s="31" t="s">
        <v>336</v>
      </c>
      <c r="Y39" s="30">
        <v>0</v>
      </c>
      <c r="Z39" s="30">
        <v>0</v>
      </c>
      <c r="AA39" s="30">
        <v>0</v>
      </c>
      <c r="AB39" s="30">
        <v>138</v>
      </c>
      <c r="AC39" s="31">
        <v>0</v>
      </c>
    </row>
    <row r="40" spans="1:29" x14ac:dyDescent="0.3">
      <c r="A40" s="30" t="s">
        <v>320</v>
      </c>
      <c r="B40" s="30" t="s">
        <v>210</v>
      </c>
      <c r="C40" s="30">
        <v>39</v>
      </c>
      <c r="D40" s="30">
        <v>1</v>
      </c>
      <c r="E40" s="30">
        <v>1</v>
      </c>
      <c r="F40" s="31">
        <v>48</v>
      </c>
      <c r="G40" s="31">
        <v>150</v>
      </c>
      <c r="H40" s="30">
        <v>4</v>
      </c>
      <c r="I40" s="31">
        <v>50</v>
      </c>
      <c r="J40" s="31">
        <v>310</v>
      </c>
      <c r="K40" s="30">
        <v>-1</v>
      </c>
      <c r="L40" s="30">
        <v>-1</v>
      </c>
      <c r="M40" s="30">
        <v>-1</v>
      </c>
      <c r="N40" s="30">
        <v>-1</v>
      </c>
      <c r="O40" s="31">
        <v>-1</v>
      </c>
      <c r="P40" s="31">
        <v>12000</v>
      </c>
      <c r="Q40" s="30">
        <v>90</v>
      </c>
      <c r="R40" s="30">
        <v>18000</v>
      </c>
      <c r="S40" s="30">
        <v>90</v>
      </c>
      <c r="T40" s="30">
        <v>14000</v>
      </c>
      <c r="U40" s="31">
        <v>900</v>
      </c>
      <c r="V40" s="31">
        <v>99999</v>
      </c>
      <c r="W40" s="30">
        <v>1</v>
      </c>
      <c r="X40" s="31" t="s">
        <v>336</v>
      </c>
      <c r="Y40" s="30">
        <v>0</v>
      </c>
      <c r="Z40" s="30">
        <v>0</v>
      </c>
      <c r="AA40" s="30">
        <v>0</v>
      </c>
      <c r="AB40" s="30">
        <v>139</v>
      </c>
      <c r="AC40" s="31">
        <v>0</v>
      </c>
    </row>
    <row r="41" spans="1:29" x14ac:dyDescent="0.3">
      <c r="A41" s="30" t="s">
        <v>320</v>
      </c>
      <c r="B41" s="30" t="s">
        <v>210</v>
      </c>
      <c r="C41" s="30">
        <v>40</v>
      </c>
      <c r="D41" s="30">
        <v>2</v>
      </c>
      <c r="E41" s="30">
        <v>1</v>
      </c>
      <c r="F41" s="31">
        <v>48</v>
      </c>
      <c r="G41" s="31">
        <v>150</v>
      </c>
      <c r="H41" s="30">
        <v>4</v>
      </c>
      <c r="I41" s="31">
        <v>50</v>
      </c>
      <c r="J41" s="31">
        <v>310</v>
      </c>
      <c r="K41" s="30">
        <v>-1</v>
      </c>
      <c r="L41" s="30">
        <v>-1</v>
      </c>
      <c r="M41" s="30">
        <v>-1</v>
      </c>
      <c r="N41" s="30">
        <v>-1</v>
      </c>
      <c r="O41" s="31">
        <v>-1</v>
      </c>
      <c r="P41" s="31">
        <v>12000</v>
      </c>
      <c r="Q41" s="30">
        <v>90</v>
      </c>
      <c r="R41" s="30">
        <v>18000</v>
      </c>
      <c r="S41" s="30">
        <v>90</v>
      </c>
      <c r="T41" s="30">
        <v>14000</v>
      </c>
      <c r="U41" s="31">
        <v>900</v>
      </c>
      <c r="V41" s="31">
        <v>99999</v>
      </c>
      <c r="W41" s="30">
        <v>1</v>
      </c>
      <c r="X41" s="31" t="s">
        <v>336</v>
      </c>
      <c r="Y41" s="30">
        <v>0</v>
      </c>
      <c r="Z41" s="30">
        <v>0</v>
      </c>
      <c r="AA41" s="30">
        <v>0</v>
      </c>
      <c r="AB41" s="30">
        <v>140</v>
      </c>
      <c r="AC41" s="31">
        <v>0</v>
      </c>
    </row>
    <row r="42" spans="1:29" x14ac:dyDescent="0.3">
      <c r="A42" s="30" t="s">
        <v>320</v>
      </c>
      <c r="B42" s="30" t="s">
        <v>210</v>
      </c>
      <c r="C42" s="30">
        <f t="shared" ref="C4:C67" si="0">C41+1</f>
        <v>41</v>
      </c>
      <c r="D42" s="30">
        <f t="shared" ref="D4:D67" si="1">IF(D41=1,2,1)</f>
        <v>1</v>
      </c>
      <c r="E42" s="30">
        <v>1</v>
      </c>
      <c r="F42" s="31"/>
      <c r="G42" s="31"/>
      <c r="H42" s="30">
        <v>4</v>
      </c>
      <c r="I42" s="31">
        <v>170</v>
      </c>
      <c r="J42" s="31">
        <v>180</v>
      </c>
      <c r="K42" s="30">
        <v>-1</v>
      </c>
      <c r="L42" s="30">
        <v>-1</v>
      </c>
      <c r="M42" s="30">
        <v>-1</v>
      </c>
      <c r="N42" s="30">
        <v>-1</v>
      </c>
      <c r="O42" s="31"/>
      <c r="P42" s="31"/>
      <c r="Q42" s="30">
        <v>90</v>
      </c>
      <c r="R42" s="30">
        <v>18000</v>
      </c>
      <c r="S42" s="30">
        <v>90</v>
      </c>
      <c r="T42" s="30">
        <v>14000</v>
      </c>
      <c r="U42" s="31">
        <v>12</v>
      </c>
      <c r="V42" s="31"/>
      <c r="W42" s="30">
        <v>1</v>
      </c>
      <c r="X42" s="31"/>
      <c r="Y42" s="30">
        <v>0</v>
      </c>
      <c r="Z42" s="30">
        <v>0</v>
      </c>
      <c r="AA42" s="30">
        <v>0</v>
      </c>
      <c r="AB42" s="30">
        <f t="shared" ref="AB3:AB66" si="2">100+C42</f>
        <v>141</v>
      </c>
      <c r="AC42" s="31"/>
    </row>
    <row r="43" spans="1:29" x14ac:dyDescent="0.3">
      <c r="A43" s="30" t="s">
        <v>320</v>
      </c>
      <c r="B43" s="30" t="s">
        <v>210</v>
      </c>
      <c r="C43" s="30">
        <f t="shared" si="0"/>
        <v>42</v>
      </c>
      <c r="D43" s="30">
        <f t="shared" si="1"/>
        <v>2</v>
      </c>
      <c r="E43" s="30">
        <v>1</v>
      </c>
      <c r="F43" s="31"/>
      <c r="G43" s="31"/>
      <c r="H43" s="30">
        <v>4</v>
      </c>
      <c r="I43" s="31">
        <v>170</v>
      </c>
      <c r="J43" s="31">
        <v>180</v>
      </c>
      <c r="K43" s="30">
        <v>-1</v>
      </c>
      <c r="L43" s="30">
        <v>-1</v>
      </c>
      <c r="M43" s="30">
        <v>-1</v>
      </c>
      <c r="N43" s="30">
        <v>-1</v>
      </c>
      <c r="O43" s="31"/>
      <c r="P43" s="31"/>
      <c r="Q43" s="30">
        <v>90</v>
      </c>
      <c r="R43" s="30">
        <v>18000</v>
      </c>
      <c r="S43" s="30">
        <v>90</v>
      </c>
      <c r="T43" s="30">
        <v>14000</v>
      </c>
      <c r="U43" s="31">
        <v>12</v>
      </c>
      <c r="V43" s="31"/>
      <c r="W43" s="30">
        <v>1</v>
      </c>
      <c r="X43" s="31"/>
      <c r="Y43" s="30">
        <v>0</v>
      </c>
      <c r="Z43" s="30">
        <v>0</v>
      </c>
      <c r="AA43" s="30">
        <v>0</v>
      </c>
      <c r="AB43" s="30">
        <f t="shared" si="2"/>
        <v>142</v>
      </c>
      <c r="AC43" s="31"/>
    </row>
    <row r="44" spans="1:29" x14ac:dyDescent="0.3">
      <c r="A44" s="30" t="s">
        <v>320</v>
      </c>
      <c r="B44" s="30" t="s">
        <v>210</v>
      </c>
      <c r="C44" s="30">
        <f t="shared" si="0"/>
        <v>43</v>
      </c>
      <c r="D44" s="30">
        <f t="shared" si="1"/>
        <v>1</v>
      </c>
      <c r="E44" s="30">
        <v>1</v>
      </c>
      <c r="F44" s="31"/>
      <c r="G44" s="31"/>
      <c r="H44" s="30">
        <v>4</v>
      </c>
      <c r="I44" s="31">
        <v>170</v>
      </c>
      <c r="J44" s="31">
        <v>180</v>
      </c>
      <c r="K44" s="30">
        <v>-1</v>
      </c>
      <c r="L44" s="30">
        <v>-1</v>
      </c>
      <c r="M44" s="30">
        <v>-1</v>
      </c>
      <c r="N44" s="30">
        <v>-1</v>
      </c>
      <c r="O44" s="31"/>
      <c r="P44" s="31"/>
      <c r="Q44" s="30">
        <v>90</v>
      </c>
      <c r="R44" s="30">
        <v>18000</v>
      </c>
      <c r="S44" s="30">
        <v>90</v>
      </c>
      <c r="T44" s="30">
        <v>14000</v>
      </c>
      <c r="U44" s="31">
        <v>12</v>
      </c>
      <c r="V44" s="31"/>
      <c r="W44" s="30">
        <v>1</v>
      </c>
      <c r="X44" s="31"/>
      <c r="Y44" s="30">
        <v>0</v>
      </c>
      <c r="Z44" s="30">
        <v>0</v>
      </c>
      <c r="AA44" s="30">
        <v>0</v>
      </c>
      <c r="AB44" s="30">
        <f t="shared" si="2"/>
        <v>143</v>
      </c>
      <c r="AC44" s="31"/>
    </row>
    <row r="45" spans="1:29" x14ac:dyDescent="0.3">
      <c r="A45" s="30" t="s">
        <v>320</v>
      </c>
      <c r="B45" s="30" t="s">
        <v>210</v>
      </c>
      <c r="C45" s="30">
        <f t="shared" si="0"/>
        <v>44</v>
      </c>
      <c r="D45" s="30">
        <f t="shared" si="1"/>
        <v>2</v>
      </c>
      <c r="E45" s="30">
        <v>1</v>
      </c>
      <c r="F45" s="31"/>
      <c r="G45" s="31"/>
      <c r="H45" s="30">
        <v>4</v>
      </c>
      <c r="I45" s="31">
        <v>170</v>
      </c>
      <c r="J45" s="31">
        <v>180</v>
      </c>
      <c r="K45" s="30">
        <v>-1</v>
      </c>
      <c r="L45" s="30">
        <v>-1</v>
      </c>
      <c r="M45" s="30">
        <v>-1</v>
      </c>
      <c r="N45" s="30">
        <v>-1</v>
      </c>
      <c r="O45" s="31"/>
      <c r="P45" s="31"/>
      <c r="Q45" s="30">
        <v>90</v>
      </c>
      <c r="R45" s="30">
        <v>18000</v>
      </c>
      <c r="S45" s="30">
        <v>90</v>
      </c>
      <c r="T45" s="30">
        <v>14000</v>
      </c>
      <c r="U45" s="31">
        <v>12</v>
      </c>
      <c r="V45" s="31"/>
      <c r="W45" s="30">
        <v>1</v>
      </c>
      <c r="X45" s="31"/>
      <c r="Y45" s="30">
        <v>0</v>
      </c>
      <c r="Z45" s="30">
        <v>0</v>
      </c>
      <c r="AA45" s="30">
        <v>0</v>
      </c>
      <c r="AB45" s="30">
        <f t="shared" si="2"/>
        <v>144</v>
      </c>
      <c r="AC45" s="31"/>
    </row>
    <row r="46" spans="1:29" x14ac:dyDescent="0.3">
      <c r="A46" s="30" t="s">
        <v>320</v>
      </c>
      <c r="B46" s="30" t="s">
        <v>210</v>
      </c>
      <c r="C46" s="30">
        <f t="shared" si="0"/>
        <v>45</v>
      </c>
      <c r="D46" s="30">
        <f t="shared" si="1"/>
        <v>1</v>
      </c>
      <c r="E46" s="30">
        <v>1</v>
      </c>
      <c r="F46" s="31"/>
      <c r="G46" s="31"/>
      <c r="H46" s="30">
        <v>4</v>
      </c>
      <c r="I46" s="31">
        <v>170</v>
      </c>
      <c r="J46" s="31">
        <v>180</v>
      </c>
      <c r="K46" s="30">
        <v>-1</v>
      </c>
      <c r="L46" s="30">
        <v>-1</v>
      </c>
      <c r="M46" s="30">
        <v>-1</v>
      </c>
      <c r="N46" s="30">
        <v>-1</v>
      </c>
      <c r="O46" s="31"/>
      <c r="P46" s="31"/>
      <c r="Q46" s="30">
        <v>90</v>
      </c>
      <c r="R46" s="30">
        <v>18000</v>
      </c>
      <c r="S46" s="30">
        <v>90</v>
      </c>
      <c r="T46" s="30">
        <v>14000</v>
      </c>
      <c r="U46" s="31">
        <v>12</v>
      </c>
      <c r="V46" s="31"/>
      <c r="W46" s="30">
        <v>1</v>
      </c>
      <c r="X46" s="31"/>
      <c r="Y46" s="30">
        <v>0</v>
      </c>
      <c r="Z46" s="30">
        <v>0</v>
      </c>
      <c r="AA46" s="30">
        <v>0</v>
      </c>
      <c r="AB46" s="30">
        <f t="shared" si="2"/>
        <v>145</v>
      </c>
      <c r="AC46" s="31"/>
    </row>
    <row r="47" spans="1:29" x14ac:dyDescent="0.3">
      <c r="A47" s="30" t="s">
        <v>320</v>
      </c>
      <c r="B47" s="30" t="s">
        <v>210</v>
      </c>
      <c r="C47" s="30">
        <f t="shared" si="0"/>
        <v>46</v>
      </c>
      <c r="D47" s="30">
        <f t="shared" si="1"/>
        <v>2</v>
      </c>
      <c r="E47" s="30">
        <v>1</v>
      </c>
      <c r="F47" s="31"/>
      <c r="G47" s="31"/>
      <c r="H47" s="30">
        <v>4</v>
      </c>
      <c r="I47" s="31">
        <v>170</v>
      </c>
      <c r="J47" s="31">
        <v>180</v>
      </c>
      <c r="K47" s="30">
        <v>-1</v>
      </c>
      <c r="L47" s="30">
        <v>-1</v>
      </c>
      <c r="M47" s="30">
        <v>-1</v>
      </c>
      <c r="N47" s="30">
        <v>-1</v>
      </c>
      <c r="O47" s="31"/>
      <c r="P47" s="31"/>
      <c r="Q47" s="30">
        <v>90</v>
      </c>
      <c r="R47" s="30">
        <v>18000</v>
      </c>
      <c r="S47" s="30">
        <v>90</v>
      </c>
      <c r="T47" s="30">
        <v>14000</v>
      </c>
      <c r="U47" s="31">
        <v>12</v>
      </c>
      <c r="V47" s="31"/>
      <c r="W47" s="30">
        <v>1</v>
      </c>
      <c r="X47" s="31"/>
      <c r="Y47" s="30">
        <v>0</v>
      </c>
      <c r="Z47" s="30">
        <v>0</v>
      </c>
      <c r="AA47" s="30">
        <v>0</v>
      </c>
      <c r="AB47" s="30">
        <f t="shared" si="2"/>
        <v>146</v>
      </c>
      <c r="AC47" s="31"/>
    </row>
    <row r="48" spans="1:29" x14ac:dyDescent="0.3">
      <c r="A48" s="30" t="s">
        <v>320</v>
      </c>
      <c r="B48" s="30" t="s">
        <v>210</v>
      </c>
      <c r="C48" s="30">
        <f t="shared" si="0"/>
        <v>47</v>
      </c>
      <c r="D48" s="30">
        <f t="shared" si="1"/>
        <v>1</v>
      </c>
      <c r="E48" s="30">
        <v>1</v>
      </c>
      <c r="F48" s="31"/>
      <c r="G48" s="31"/>
      <c r="H48" s="30">
        <v>4</v>
      </c>
      <c r="I48" s="31">
        <v>170</v>
      </c>
      <c r="J48" s="31">
        <v>180</v>
      </c>
      <c r="K48" s="30">
        <v>-1</v>
      </c>
      <c r="L48" s="30">
        <v>-1</v>
      </c>
      <c r="M48" s="30">
        <v>-1</v>
      </c>
      <c r="N48" s="30">
        <v>-1</v>
      </c>
      <c r="O48" s="31"/>
      <c r="P48" s="31"/>
      <c r="Q48" s="30">
        <v>90</v>
      </c>
      <c r="R48" s="30">
        <v>18000</v>
      </c>
      <c r="S48" s="30">
        <v>90</v>
      </c>
      <c r="T48" s="30">
        <v>14000</v>
      </c>
      <c r="U48" s="31">
        <v>12</v>
      </c>
      <c r="V48" s="31"/>
      <c r="W48" s="30">
        <v>1</v>
      </c>
      <c r="X48" s="31"/>
      <c r="Y48" s="30">
        <v>0</v>
      </c>
      <c r="Z48" s="30">
        <v>0</v>
      </c>
      <c r="AA48" s="30">
        <v>0</v>
      </c>
      <c r="AB48" s="30">
        <f t="shared" si="2"/>
        <v>147</v>
      </c>
      <c r="AC48" s="31"/>
    </row>
    <row r="49" spans="1:29" x14ac:dyDescent="0.3">
      <c r="A49" s="30" t="s">
        <v>320</v>
      </c>
      <c r="B49" s="30" t="s">
        <v>210</v>
      </c>
      <c r="C49" s="30">
        <f t="shared" si="0"/>
        <v>48</v>
      </c>
      <c r="D49" s="30">
        <f t="shared" si="1"/>
        <v>2</v>
      </c>
      <c r="E49" s="30">
        <v>1</v>
      </c>
      <c r="F49" s="31"/>
      <c r="G49" s="31"/>
      <c r="H49" s="30">
        <v>4</v>
      </c>
      <c r="I49" s="31">
        <v>170</v>
      </c>
      <c r="J49" s="31">
        <v>180</v>
      </c>
      <c r="K49" s="30">
        <v>-1</v>
      </c>
      <c r="L49" s="30">
        <v>-1</v>
      </c>
      <c r="M49" s="30">
        <v>-1</v>
      </c>
      <c r="N49" s="30">
        <v>-1</v>
      </c>
      <c r="O49" s="31"/>
      <c r="P49" s="31"/>
      <c r="Q49" s="30">
        <v>90</v>
      </c>
      <c r="R49" s="30">
        <v>18000</v>
      </c>
      <c r="S49" s="30">
        <v>90</v>
      </c>
      <c r="T49" s="30">
        <v>14000</v>
      </c>
      <c r="U49" s="31">
        <v>12</v>
      </c>
      <c r="V49" s="31"/>
      <c r="W49" s="30">
        <v>1</v>
      </c>
      <c r="X49" s="31"/>
      <c r="Y49" s="30">
        <v>0</v>
      </c>
      <c r="Z49" s="30">
        <v>0</v>
      </c>
      <c r="AA49" s="30">
        <v>0</v>
      </c>
      <c r="AB49" s="30">
        <f t="shared" si="2"/>
        <v>148</v>
      </c>
      <c r="AC49" s="31"/>
    </row>
    <row r="50" spans="1:29" x14ac:dyDescent="0.3">
      <c r="A50" s="30" t="s">
        <v>320</v>
      </c>
      <c r="B50" s="30" t="s">
        <v>210</v>
      </c>
      <c r="C50" s="30">
        <f t="shared" si="0"/>
        <v>49</v>
      </c>
      <c r="D50" s="30">
        <f t="shared" si="1"/>
        <v>1</v>
      </c>
      <c r="E50" s="30">
        <v>1</v>
      </c>
      <c r="F50" s="31"/>
      <c r="G50" s="31"/>
      <c r="H50" s="30">
        <v>4</v>
      </c>
      <c r="I50" s="31">
        <v>170</v>
      </c>
      <c r="J50" s="31">
        <v>180</v>
      </c>
      <c r="K50" s="30">
        <v>-1</v>
      </c>
      <c r="L50" s="30">
        <v>-1</v>
      </c>
      <c r="M50" s="30">
        <v>-1</v>
      </c>
      <c r="N50" s="30">
        <v>-1</v>
      </c>
      <c r="O50" s="31"/>
      <c r="P50" s="31"/>
      <c r="Q50" s="30">
        <v>90</v>
      </c>
      <c r="R50" s="30">
        <v>18000</v>
      </c>
      <c r="S50" s="30">
        <v>90</v>
      </c>
      <c r="T50" s="30">
        <v>14000</v>
      </c>
      <c r="U50" s="31">
        <v>12</v>
      </c>
      <c r="V50" s="31"/>
      <c r="W50" s="30">
        <v>1</v>
      </c>
      <c r="X50" s="31"/>
      <c r="Y50" s="30">
        <v>0</v>
      </c>
      <c r="Z50" s="30">
        <v>0</v>
      </c>
      <c r="AA50" s="30">
        <v>0</v>
      </c>
      <c r="AB50" s="30">
        <f t="shared" si="2"/>
        <v>149</v>
      </c>
      <c r="AC50" s="31"/>
    </row>
    <row r="51" spans="1:29" x14ac:dyDescent="0.3">
      <c r="A51" s="30" t="s">
        <v>320</v>
      </c>
      <c r="B51" s="30" t="s">
        <v>210</v>
      </c>
      <c r="C51" s="30">
        <f t="shared" si="0"/>
        <v>50</v>
      </c>
      <c r="D51" s="30">
        <f t="shared" si="1"/>
        <v>2</v>
      </c>
      <c r="E51" s="30">
        <v>1</v>
      </c>
      <c r="F51" s="31"/>
      <c r="G51" s="31"/>
      <c r="H51" s="30">
        <v>4</v>
      </c>
      <c r="I51" s="31">
        <v>170</v>
      </c>
      <c r="J51" s="31">
        <v>180</v>
      </c>
      <c r="K51" s="30">
        <v>-1</v>
      </c>
      <c r="L51" s="30">
        <v>-1</v>
      </c>
      <c r="M51" s="30">
        <v>-1</v>
      </c>
      <c r="N51" s="30">
        <v>-1</v>
      </c>
      <c r="O51" s="31"/>
      <c r="P51" s="31"/>
      <c r="Q51" s="30">
        <v>90</v>
      </c>
      <c r="R51" s="30">
        <v>18000</v>
      </c>
      <c r="S51" s="30">
        <v>90</v>
      </c>
      <c r="T51" s="30">
        <v>14000</v>
      </c>
      <c r="U51" s="31">
        <v>12</v>
      </c>
      <c r="V51" s="31"/>
      <c r="W51" s="30">
        <v>1</v>
      </c>
      <c r="X51" s="31"/>
      <c r="Y51" s="30">
        <v>0</v>
      </c>
      <c r="Z51" s="30">
        <v>0</v>
      </c>
      <c r="AA51" s="30">
        <v>0</v>
      </c>
      <c r="AB51" s="30">
        <f t="shared" si="2"/>
        <v>150</v>
      </c>
      <c r="AC51" s="31"/>
    </row>
    <row r="52" spans="1:29" x14ac:dyDescent="0.3">
      <c r="A52" s="30" t="s">
        <v>320</v>
      </c>
      <c r="B52" s="30" t="s">
        <v>210</v>
      </c>
      <c r="C52" s="30">
        <f t="shared" si="0"/>
        <v>51</v>
      </c>
      <c r="D52" s="30">
        <f t="shared" si="1"/>
        <v>1</v>
      </c>
      <c r="E52" s="30">
        <v>1</v>
      </c>
      <c r="F52" s="31"/>
      <c r="G52" s="31"/>
      <c r="H52" s="30">
        <v>4</v>
      </c>
      <c r="I52" s="31">
        <v>170</v>
      </c>
      <c r="J52" s="31">
        <v>180</v>
      </c>
      <c r="K52" s="30">
        <v>-1</v>
      </c>
      <c r="L52" s="30">
        <v>-1</v>
      </c>
      <c r="M52" s="30">
        <v>-1</v>
      </c>
      <c r="N52" s="30">
        <v>-1</v>
      </c>
      <c r="O52" s="31"/>
      <c r="P52" s="31"/>
      <c r="Q52" s="30">
        <v>90</v>
      </c>
      <c r="R52" s="30">
        <v>18000</v>
      </c>
      <c r="S52" s="30">
        <v>90</v>
      </c>
      <c r="T52" s="30">
        <v>14000</v>
      </c>
      <c r="U52" s="31">
        <v>12</v>
      </c>
      <c r="V52" s="31"/>
      <c r="W52" s="30">
        <v>1</v>
      </c>
      <c r="X52" s="31"/>
      <c r="Y52" s="30">
        <v>0</v>
      </c>
      <c r="Z52" s="30">
        <v>0</v>
      </c>
      <c r="AA52" s="30">
        <v>0</v>
      </c>
      <c r="AB52" s="30">
        <f t="shared" si="2"/>
        <v>151</v>
      </c>
      <c r="AC52" s="31"/>
    </row>
    <row r="53" spans="1:29" x14ac:dyDescent="0.3">
      <c r="A53" s="30" t="s">
        <v>320</v>
      </c>
      <c r="B53" s="30" t="s">
        <v>210</v>
      </c>
      <c r="C53" s="30">
        <f t="shared" si="0"/>
        <v>52</v>
      </c>
      <c r="D53" s="30">
        <f t="shared" si="1"/>
        <v>2</v>
      </c>
      <c r="E53" s="30">
        <v>1</v>
      </c>
      <c r="F53" s="31"/>
      <c r="G53" s="31"/>
      <c r="H53" s="30">
        <v>4</v>
      </c>
      <c r="I53" s="31">
        <v>170</v>
      </c>
      <c r="J53" s="31">
        <v>180</v>
      </c>
      <c r="K53" s="30">
        <v>-1</v>
      </c>
      <c r="L53" s="30">
        <v>-1</v>
      </c>
      <c r="M53" s="30">
        <v>-1</v>
      </c>
      <c r="N53" s="30">
        <v>-1</v>
      </c>
      <c r="O53" s="31"/>
      <c r="P53" s="31"/>
      <c r="Q53" s="30">
        <v>90</v>
      </c>
      <c r="R53" s="30">
        <v>18000</v>
      </c>
      <c r="S53" s="30">
        <v>90</v>
      </c>
      <c r="T53" s="30">
        <v>14000</v>
      </c>
      <c r="U53" s="31">
        <v>12</v>
      </c>
      <c r="V53" s="31"/>
      <c r="W53" s="30">
        <v>1</v>
      </c>
      <c r="X53" s="31"/>
      <c r="Y53" s="30">
        <v>0</v>
      </c>
      <c r="Z53" s="30">
        <v>0</v>
      </c>
      <c r="AA53" s="30">
        <v>0</v>
      </c>
      <c r="AB53" s="30">
        <f t="shared" si="2"/>
        <v>152</v>
      </c>
      <c r="AC53" s="31"/>
    </row>
    <row r="54" spans="1:29" x14ac:dyDescent="0.3">
      <c r="A54" s="30" t="s">
        <v>320</v>
      </c>
      <c r="B54" s="30" t="s">
        <v>210</v>
      </c>
      <c r="C54" s="30">
        <f t="shared" si="0"/>
        <v>53</v>
      </c>
      <c r="D54" s="30">
        <f t="shared" si="1"/>
        <v>1</v>
      </c>
      <c r="E54" s="30">
        <v>1</v>
      </c>
      <c r="F54" s="31"/>
      <c r="G54" s="31"/>
      <c r="H54" s="30">
        <v>4</v>
      </c>
      <c r="I54" s="31">
        <v>170</v>
      </c>
      <c r="J54" s="31">
        <v>180</v>
      </c>
      <c r="K54" s="30">
        <v>-1</v>
      </c>
      <c r="L54" s="30">
        <v>-1</v>
      </c>
      <c r="M54" s="30">
        <v>-1</v>
      </c>
      <c r="N54" s="30">
        <v>-1</v>
      </c>
      <c r="O54" s="31"/>
      <c r="P54" s="31"/>
      <c r="Q54" s="30">
        <v>90</v>
      </c>
      <c r="R54" s="30">
        <v>18000</v>
      </c>
      <c r="S54" s="30">
        <v>90</v>
      </c>
      <c r="T54" s="30">
        <v>14000</v>
      </c>
      <c r="U54" s="31">
        <v>12</v>
      </c>
      <c r="V54" s="31"/>
      <c r="W54" s="30">
        <v>1</v>
      </c>
      <c r="X54" s="31"/>
      <c r="Y54" s="30">
        <v>0</v>
      </c>
      <c r="Z54" s="30">
        <v>0</v>
      </c>
      <c r="AA54" s="30">
        <v>0</v>
      </c>
      <c r="AB54" s="30">
        <f t="shared" si="2"/>
        <v>153</v>
      </c>
      <c r="AC54" s="31"/>
    </row>
    <row r="55" spans="1:29" x14ac:dyDescent="0.3">
      <c r="A55" s="30" t="s">
        <v>320</v>
      </c>
      <c r="B55" s="30" t="s">
        <v>210</v>
      </c>
      <c r="C55" s="30">
        <f t="shared" si="0"/>
        <v>54</v>
      </c>
      <c r="D55" s="30">
        <f t="shared" si="1"/>
        <v>2</v>
      </c>
      <c r="E55" s="30">
        <v>1</v>
      </c>
      <c r="F55" s="31"/>
      <c r="G55" s="31"/>
      <c r="H55" s="30">
        <v>4</v>
      </c>
      <c r="I55" s="31">
        <v>170</v>
      </c>
      <c r="J55" s="31">
        <v>180</v>
      </c>
      <c r="K55" s="30">
        <v>-1</v>
      </c>
      <c r="L55" s="30">
        <v>-1</v>
      </c>
      <c r="M55" s="30">
        <v>-1</v>
      </c>
      <c r="N55" s="30">
        <v>-1</v>
      </c>
      <c r="O55" s="31"/>
      <c r="P55" s="31"/>
      <c r="Q55" s="30">
        <v>90</v>
      </c>
      <c r="R55" s="30">
        <v>18000</v>
      </c>
      <c r="S55" s="30">
        <v>90</v>
      </c>
      <c r="T55" s="30">
        <v>14000</v>
      </c>
      <c r="U55" s="31">
        <v>12</v>
      </c>
      <c r="V55" s="31"/>
      <c r="W55" s="30">
        <v>1</v>
      </c>
      <c r="X55" s="31"/>
      <c r="Y55" s="30">
        <v>0</v>
      </c>
      <c r="Z55" s="30">
        <v>0</v>
      </c>
      <c r="AA55" s="30">
        <v>0</v>
      </c>
      <c r="AB55" s="30">
        <f t="shared" si="2"/>
        <v>154</v>
      </c>
      <c r="AC55" s="31"/>
    </row>
    <row r="56" spans="1:29" x14ac:dyDescent="0.3">
      <c r="A56" s="30" t="s">
        <v>320</v>
      </c>
      <c r="B56" s="30" t="s">
        <v>210</v>
      </c>
      <c r="C56" s="30">
        <f t="shared" si="0"/>
        <v>55</v>
      </c>
      <c r="D56" s="30">
        <f t="shared" si="1"/>
        <v>1</v>
      </c>
      <c r="E56" s="30">
        <v>1</v>
      </c>
      <c r="F56" s="31"/>
      <c r="G56" s="31"/>
      <c r="H56" s="30">
        <v>4</v>
      </c>
      <c r="I56" s="31">
        <v>170</v>
      </c>
      <c r="J56" s="31">
        <v>180</v>
      </c>
      <c r="K56" s="30">
        <v>-1</v>
      </c>
      <c r="L56" s="30">
        <v>-1</v>
      </c>
      <c r="M56" s="30">
        <v>-1</v>
      </c>
      <c r="N56" s="30">
        <v>-1</v>
      </c>
      <c r="O56" s="31"/>
      <c r="P56" s="31"/>
      <c r="Q56" s="30">
        <v>90</v>
      </c>
      <c r="R56" s="30">
        <v>18000</v>
      </c>
      <c r="S56" s="30">
        <v>90</v>
      </c>
      <c r="T56" s="30">
        <v>14000</v>
      </c>
      <c r="U56" s="31">
        <v>12</v>
      </c>
      <c r="V56" s="31"/>
      <c r="W56" s="30">
        <v>1</v>
      </c>
      <c r="X56" s="31"/>
      <c r="Y56" s="30">
        <v>0</v>
      </c>
      <c r="Z56" s="30">
        <v>0</v>
      </c>
      <c r="AA56" s="30">
        <v>0</v>
      </c>
      <c r="AB56" s="30">
        <f t="shared" si="2"/>
        <v>155</v>
      </c>
      <c r="AC56" s="31"/>
    </row>
    <row r="57" spans="1:29" x14ac:dyDescent="0.3">
      <c r="A57" s="30" t="s">
        <v>320</v>
      </c>
      <c r="B57" s="30" t="s">
        <v>210</v>
      </c>
      <c r="C57" s="30">
        <f t="shared" si="0"/>
        <v>56</v>
      </c>
      <c r="D57" s="30">
        <f t="shared" si="1"/>
        <v>2</v>
      </c>
      <c r="E57" s="30">
        <v>1</v>
      </c>
      <c r="F57" s="31"/>
      <c r="G57" s="31"/>
      <c r="H57" s="30">
        <v>4</v>
      </c>
      <c r="I57" s="31">
        <v>170</v>
      </c>
      <c r="J57" s="31">
        <v>180</v>
      </c>
      <c r="K57" s="30">
        <v>-1</v>
      </c>
      <c r="L57" s="30">
        <v>-1</v>
      </c>
      <c r="M57" s="30">
        <v>-1</v>
      </c>
      <c r="N57" s="30">
        <v>-1</v>
      </c>
      <c r="O57" s="31"/>
      <c r="P57" s="31"/>
      <c r="Q57" s="30">
        <v>90</v>
      </c>
      <c r="R57" s="30">
        <v>18000</v>
      </c>
      <c r="S57" s="30">
        <v>90</v>
      </c>
      <c r="T57" s="30">
        <v>14000</v>
      </c>
      <c r="U57" s="31">
        <v>12</v>
      </c>
      <c r="V57" s="31"/>
      <c r="W57" s="30">
        <v>1</v>
      </c>
      <c r="X57" s="31"/>
      <c r="Y57" s="30">
        <v>0</v>
      </c>
      <c r="Z57" s="30">
        <v>0</v>
      </c>
      <c r="AA57" s="30">
        <v>0</v>
      </c>
      <c r="AB57" s="30">
        <f t="shared" si="2"/>
        <v>156</v>
      </c>
      <c r="AC57" s="31"/>
    </row>
    <row r="58" spans="1:29" x14ac:dyDescent="0.3">
      <c r="A58" s="30" t="s">
        <v>320</v>
      </c>
      <c r="B58" s="30" t="s">
        <v>210</v>
      </c>
      <c r="C58" s="30">
        <f t="shared" si="0"/>
        <v>57</v>
      </c>
      <c r="D58" s="30">
        <f t="shared" si="1"/>
        <v>1</v>
      </c>
      <c r="E58" s="30">
        <v>1</v>
      </c>
      <c r="F58" s="31"/>
      <c r="G58" s="31"/>
      <c r="H58" s="30">
        <v>4</v>
      </c>
      <c r="I58" s="31">
        <v>170</v>
      </c>
      <c r="J58" s="31">
        <v>180</v>
      </c>
      <c r="K58" s="30">
        <v>-1</v>
      </c>
      <c r="L58" s="30">
        <v>-1</v>
      </c>
      <c r="M58" s="30">
        <v>-1</v>
      </c>
      <c r="N58" s="30">
        <v>-1</v>
      </c>
      <c r="O58" s="31"/>
      <c r="P58" s="31"/>
      <c r="Q58" s="30">
        <v>90</v>
      </c>
      <c r="R58" s="30">
        <v>18000</v>
      </c>
      <c r="S58" s="30">
        <v>90</v>
      </c>
      <c r="T58" s="30">
        <v>14000</v>
      </c>
      <c r="U58" s="31">
        <v>12</v>
      </c>
      <c r="V58" s="31"/>
      <c r="W58" s="30">
        <v>1</v>
      </c>
      <c r="X58" s="31"/>
      <c r="Y58" s="30">
        <v>0</v>
      </c>
      <c r="Z58" s="30">
        <v>0</v>
      </c>
      <c r="AA58" s="30">
        <v>0</v>
      </c>
      <c r="AB58" s="30">
        <f t="shared" si="2"/>
        <v>157</v>
      </c>
      <c r="AC58" s="31"/>
    </row>
    <row r="59" spans="1:29" x14ac:dyDescent="0.3">
      <c r="A59" s="30" t="s">
        <v>320</v>
      </c>
      <c r="B59" s="30" t="s">
        <v>210</v>
      </c>
      <c r="C59" s="30">
        <f t="shared" si="0"/>
        <v>58</v>
      </c>
      <c r="D59" s="30">
        <f t="shared" si="1"/>
        <v>2</v>
      </c>
      <c r="E59" s="30">
        <v>1</v>
      </c>
      <c r="F59" s="31"/>
      <c r="G59" s="31"/>
      <c r="H59" s="30">
        <v>4</v>
      </c>
      <c r="I59" s="31">
        <v>170</v>
      </c>
      <c r="J59" s="31">
        <v>180</v>
      </c>
      <c r="K59" s="30">
        <v>-1</v>
      </c>
      <c r="L59" s="30">
        <v>-1</v>
      </c>
      <c r="M59" s="30">
        <v>-1</v>
      </c>
      <c r="N59" s="30">
        <v>-1</v>
      </c>
      <c r="O59" s="31"/>
      <c r="P59" s="31"/>
      <c r="Q59" s="30">
        <v>90</v>
      </c>
      <c r="R59" s="30">
        <v>18000</v>
      </c>
      <c r="S59" s="30">
        <v>90</v>
      </c>
      <c r="T59" s="30">
        <v>14000</v>
      </c>
      <c r="U59" s="31">
        <v>12</v>
      </c>
      <c r="V59" s="31"/>
      <c r="W59" s="30">
        <v>1</v>
      </c>
      <c r="X59" s="31"/>
      <c r="Y59" s="30">
        <v>0</v>
      </c>
      <c r="Z59" s="30">
        <v>0</v>
      </c>
      <c r="AA59" s="30">
        <v>0</v>
      </c>
      <c r="AB59" s="30">
        <f t="shared" si="2"/>
        <v>158</v>
      </c>
      <c r="AC59" s="31"/>
    </row>
    <row r="60" spans="1:29" x14ac:dyDescent="0.3">
      <c r="A60" s="30" t="s">
        <v>320</v>
      </c>
      <c r="B60" s="30" t="s">
        <v>210</v>
      </c>
      <c r="C60" s="30">
        <f t="shared" si="0"/>
        <v>59</v>
      </c>
      <c r="D60" s="30">
        <f t="shared" si="1"/>
        <v>1</v>
      </c>
      <c r="E60" s="30">
        <v>1</v>
      </c>
      <c r="F60" s="31"/>
      <c r="G60" s="31"/>
      <c r="H60" s="30">
        <v>4</v>
      </c>
      <c r="I60" s="31">
        <v>170</v>
      </c>
      <c r="J60" s="31">
        <v>180</v>
      </c>
      <c r="K60" s="30">
        <v>-1</v>
      </c>
      <c r="L60" s="30">
        <v>-1</v>
      </c>
      <c r="M60" s="30">
        <v>-1</v>
      </c>
      <c r="N60" s="30">
        <v>-1</v>
      </c>
      <c r="O60" s="31"/>
      <c r="P60" s="31"/>
      <c r="Q60" s="30">
        <v>90</v>
      </c>
      <c r="R60" s="30">
        <v>18000</v>
      </c>
      <c r="S60" s="30">
        <v>90</v>
      </c>
      <c r="T60" s="30">
        <v>14000</v>
      </c>
      <c r="U60" s="31">
        <v>12</v>
      </c>
      <c r="V60" s="31"/>
      <c r="W60" s="30">
        <v>1</v>
      </c>
      <c r="X60" s="31"/>
      <c r="Y60" s="30">
        <v>0</v>
      </c>
      <c r="Z60" s="30">
        <v>0</v>
      </c>
      <c r="AA60" s="30">
        <v>0</v>
      </c>
      <c r="AB60" s="30">
        <f t="shared" si="2"/>
        <v>159</v>
      </c>
      <c r="AC60" s="31"/>
    </row>
    <row r="61" spans="1:29" x14ac:dyDescent="0.3">
      <c r="A61" s="30" t="s">
        <v>320</v>
      </c>
      <c r="B61" s="30" t="s">
        <v>210</v>
      </c>
      <c r="C61" s="30">
        <f t="shared" si="0"/>
        <v>60</v>
      </c>
      <c r="D61" s="30">
        <f t="shared" si="1"/>
        <v>2</v>
      </c>
      <c r="E61" s="30">
        <v>1</v>
      </c>
      <c r="F61" s="31"/>
      <c r="G61" s="31"/>
      <c r="H61" s="30">
        <v>4</v>
      </c>
      <c r="I61" s="31">
        <v>170</v>
      </c>
      <c r="J61" s="31">
        <v>180</v>
      </c>
      <c r="K61" s="30">
        <v>-1</v>
      </c>
      <c r="L61" s="30">
        <v>-1</v>
      </c>
      <c r="M61" s="30">
        <v>-1</v>
      </c>
      <c r="N61" s="30">
        <v>-1</v>
      </c>
      <c r="O61" s="31"/>
      <c r="P61" s="31"/>
      <c r="Q61" s="30">
        <v>90</v>
      </c>
      <c r="R61" s="30">
        <v>18000</v>
      </c>
      <c r="S61" s="30">
        <v>90</v>
      </c>
      <c r="T61" s="30">
        <v>14000</v>
      </c>
      <c r="U61" s="31">
        <v>12</v>
      </c>
      <c r="V61" s="31"/>
      <c r="W61" s="30">
        <v>1</v>
      </c>
      <c r="X61" s="31"/>
      <c r="Y61" s="30">
        <v>0</v>
      </c>
      <c r="Z61" s="30">
        <v>0</v>
      </c>
      <c r="AA61" s="30">
        <v>0</v>
      </c>
      <c r="AB61" s="30">
        <f t="shared" si="2"/>
        <v>160</v>
      </c>
      <c r="AC61" s="31"/>
    </row>
    <row r="62" spans="1:29" x14ac:dyDescent="0.3">
      <c r="A62" s="30" t="s">
        <v>320</v>
      </c>
      <c r="B62" s="30" t="s">
        <v>210</v>
      </c>
      <c r="C62" s="30">
        <f t="shared" si="0"/>
        <v>61</v>
      </c>
      <c r="D62" s="30">
        <f t="shared" si="1"/>
        <v>1</v>
      </c>
      <c r="E62" s="30">
        <v>1</v>
      </c>
      <c r="F62" s="31"/>
      <c r="G62" s="31"/>
      <c r="H62" s="30">
        <v>4</v>
      </c>
      <c r="I62" s="31">
        <v>170</v>
      </c>
      <c r="J62" s="31">
        <v>180</v>
      </c>
      <c r="K62" s="30">
        <v>-1</v>
      </c>
      <c r="L62" s="30">
        <v>-1</v>
      </c>
      <c r="M62" s="30">
        <v>-1</v>
      </c>
      <c r="N62" s="30">
        <v>-1</v>
      </c>
      <c r="O62" s="31"/>
      <c r="P62" s="31"/>
      <c r="Q62" s="30">
        <v>90</v>
      </c>
      <c r="R62" s="30">
        <v>18000</v>
      </c>
      <c r="S62" s="30">
        <v>90</v>
      </c>
      <c r="T62" s="30">
        <v>14000</v>
      </c>
      <c r="U62" s="31">
        <v>12</v>
      </c>
      <c r="V62" s="31"/>
      <c r="W62" s="30">
        <v>1</v>
      </c>
      <c r="X62" s="31"/>
      <c r="Y62" s="30">
        <v>0</v>
      </c>
      <c r="Z62" s="30">
        <v>0</v>
      </c>
      <c r="AA62" s="30">
        <v>0</v>
      </c>
      <c r="AB62" s="30">
        <f t="shared" si="2"/>
        <v>161</v>
      </c>
      <c r="AC62" s="31"/>
    </row>
    <row r="63" spans="1:29" x14ac:dyDescent="0.3">
      <c r="A63" s="30" t="s">
        <v>320</v>
      </c>
      <c r="B63" s="30" t="s">
        <v>210</v>
      </c>
      <c r="C63" s="30">
        <f t="shared" si="0"/>
        <v>62</v>
      </c>
      <c r="D63" s="30">
        <f t="shared" si="1"/>
        <v>2</v>
      </c>
      <c r="E63" s="30">
        <v>1</v>
      </c>
      <c r="F63" s="31"/>
      <c r="G63" s="31"/>
      <c r="H63" s="30">
        <v>4</v>
      </c>
      <c r="I63" s="31">
        <v>170</v>
      </c>
      <c r="J63" s="31">
        <v>180</v>
      </c>
      <c r="K63" s="30">
        <v>-1</v>
      </c>
      <c r="L63" s="30">
        <v>-1</v>
      </c>
      <c r="M63" s="30">
        <v>-1</v>
      </c>
      <c r="N63" s="30">
        <v>-1</v>
      </c>
      <c r="O63" s="31"/>
      <c r="P63" s="31"/>
      <c r="Q63" s="30">
        <v>90</v>
      </c>
      <c r="R63" s="30">
        <v>18000</v>
      </c>
      <c r="S63" s="30">
        <v>90</v>
      </c>
      <c r="T63" s="30">
        <v>14000</v>
      </c>
      <c r="U63" s="31">
        <v>12</v>
      </c>
      <c r="V63" s="31"/>
      <c r="W63" s="30">
        <v>1</v>
      </c>
      <c r="X63" s="31"/>
      <c r="Y63" s="30">
        <v>0</v>
      </c>
      <c r="Z63" s="30">
        <v>0</v>
      </c>
      <c r="AA63" s="30">
        <v>0</v>
      </c>
      <c r="AB63" s="30">
        <f t="shared" si="2"/>
        <v>162</v>
      </c>
      <c r="AC63" s="31"/>
    </row>
    <row r="64" spans="1:29" x14ac:dyDescent="0.3">
      <c r="A64" s="30" t="s">
        <v>320</v>
      </c>
      <c r="B64" s="30" t="s">
        <v>210</v>
      </c>
      <c r="C64" s="30">
        <f t="shared" si="0"/>
        <v>63</v>
      </c>
      <c r="D64" s="30">
        <f t="shared" si="1"/>
        <v>1</v>
      </c>
      <c r="E64" s="30">
        <v>1</v>
      </c>
      <c r="F64" s="31"/>
      <c r="G64" s="31"/>
      <c r="H64" s="30">
        <v>4</v>
      </c>
      <c r="I64" s="31">
        <v>170</v>
      </c>
      <c r="J64" s="31">
        <v>180</v>
      </c>
      <c r="K64" s="30">
        <v>-1</v>
      </c>
      <c r="L64" s="30">
        <v>-1</v>
      </c>
      <c r="M64" s="30">
        <v>-1</v>
      </c>
      <c r="N64" s="30">
        <v>-1</v>
      </c>
      <c r="O64" s="31"/>
      <c r="P64" s="31"/>
      <c r="Q64" s="30">
        <v>90</v>
      </c>
      <c r="R64" s="30">
        <v>18000</v>
      </c>
      <c r="S64" s="30">
        <v>90</v>
      </c>
      <c r="T64" s="30">
        <v>14000</v>
      </c>
      <c r="U64" s="31">
        <v>12</v>
      </c>
      <c r="V64" s="31"/>
      <c r="W64" s="30">
        <v>1</v>
      </c>
      <c r="X64" s="31"/>
      <c r="Y64" s="30">
        <v>0</v>
      </c>
      <c r="Z64" s="30">
        <v>0</v>
      </c>
      <c r="AA64" s="30">
        <v>0</v>
      </c>
      <c r="AB64" s="30">
        <f t="shared" si="2"/>
        <v>163</v>
      </c>
      <c r="AC64" s="31"/>
    </row>
    <row r="65" spans="1:29" x14ac:dyDescent="0.3">
      <c r="A65" s="30" t="s">
        <v>320</v>
      </c>
      <c r="B65" s="30" t="s">
        <v>210</v>
      </c>
      <c r="C65" s="30">
        <f t="shared" si="0"/>
        <v>64</v>
      </c>
      <c r="D65" s="30">
        <f t="shared" si="1"/>
        <v>2</v>
      </c>
      <c r="E65" s="30">
        <v>1</v>
      </c>
      <c r="F65" s="31"/>
      <c r="G65" s="31"/>
      <c r="H65" s="30">
        <v>4</v>
      </c>
      <c r="I65" s="31">
        <v>170</v>
      </c>
      <c r="J65" s="31">
        <v>180</v>
      </c>
      <c r="K65" s="30">
        <v>-1</v>
      </c>
      <c r="L65" s="30">
        <v>-1</v>
      </c>
      <c r="M65" s="30">
        <v>-1</v>
      </c>
      <c r="N65" s="30">
        <v>-1</v>
      </c>
      <c r="O65" s="31"/>
      <c r="P65" s="31"/>
      <c r="Q65" s="30">
        <v>90</v>
      </c>
      <c r="R65" s="30">
        <v>18000</v>
      </c>
      <c r="S65" s="30">
        <v>90</v>
      </c>
      <c r="T65" s="30">
        <v>14000</v>
      </c>
      <c r="U65" s="31">
        <v>12</v>
      </c>
      <c r="V65" s="31"/>
      <c r="W65" s="30">
        <v>1</v>
      </c>
      <c r="X65" s="31"/>
      <c r="Y65" s="30">
        <v>0</v>
      </c>
      <c r="Z65" s="30">
        <v>0</v>
      </c>
      <c r="AA65" s="30">
        <v>0</v>
      </c>
      <c r="AB65" s="30">
        <f t="shared" si="2"/>
        <v>164</v>
      </c>
      <c r="AC65" s="31"/>
    </row>
    <row r="66" spans="1:29" x14ac:dyDescent="0.3">
      <c r="A66" s="30" t="s">
        <v>320</v>
      </c>
      <c r="B66" s="30" t="s">
        <v>210</v>
      </c>
      <c r="C66" s="30">
        <f t="shared" si="0"/>
        <v>65</v>
      </c>
      <c r="D66" s="30">
        <f t="shared" si="1"/>
        <v>1</v>
      </c>
      <c r="E66" s="30">
        <v>1</v>
      </c>
      <c r="F66" s="31"/>
      <c r="G66" s="31"/>
      <c r="H66" s="30">
        <v>4</v>
      </c>
      <c r="I66" s="31">
        <v>170</v>
      </c>
      <c r="J66" s="31">
        <v>180</v>
      </c>
      <c r="K66" s="30">
        <v>-1</v>
      </c>
      <c r="L66" s="30">
        <v>-1</v>
      </c>
      <c r="M66" s="30">
        <v>-1</v>
      </c>
      <c r="N66" s="30">
        <v>-1</v>
      </c>
      <c r="O66" s="31"/>
      <c r="P66" s="31"/>
      <c r="Q66" s="30">
        <v>90</v>
      </c>
      <c r="R66" s="30">
        <v>18000</v>
      </c>
      <c r="S66" s="30">
        <v>90</v>
      </c>
      <c r="T66" s="30">
        <v>14000</v>
      </c>
      <c r="U66" s="31">
        <v>12</v>
      </c>
      <c r="V66" s="31"/>
      <c r="W66" s="30">
        <v>1</v>
      </c>
      <c r="X66" s="31"/>
      <c r="Y66" s="30">
        <v>0</v>
      </c>
      <c r="Z66" s="30">
        <v>0</v>
      </c>
      <c r="AA66" s="30">
        <v>0</v>
      </c>
      <c r="AB66" s="30">
        <f t="shared" si="2"/>
        <v>165</v>
      </c>
      <c r="AC66" s="31"/>
    </row>
    <row r="67" spans="1:29" x14ac:dyDescent="0.3">
      <c r="A67" s="30" t="s">
        <v>320</v>
      </c>
      <c r="B67" s="30" t="s">
        <v>210</v>
      </c>
      <c r="C67" s="30">
        <f t="shared" si="0"/>
        <v>66</v>
      </c>
      <c r="D67" s="30">
        <f t="shared" si="1"/>
        <v>2</v>
      </c>
      <c r="E67" s="30">
        <v>1</v>
      </c>
      <c r="F67" s="31"/>
      <c r="G67" s="31"/>
      <c r="H67" s="30">
        <v>4</v>
      </c>
      <c r="I67" s="31">
        <v>170</v>
      </c>
      <c r="J67" s="31">
        <v>180</v>
      </c>
      <c r="K67" s="30">
        <v>-1</v>
      </c>
      <c r="L67" s="30">
        <v>-1</v>
      </c>
      <c r="M67" s="30">
        <v>-1</v>
      </c>
      <c r="N67" s="30">
        <v>-1</v>
      </c>
      <c r="O67" s="31"/>
      <c r="P67" s="31"/>
      <c r="Q67" s="30">
        <v>90</v>
      </c>
      <c r="R67" s="30">
        <v>18000</v>
      </c>
      <c r="S67" s="30">
        <v>90</v>
      </c>
      <c r="T67" s="30">
        <v>14000</v>
      </c>
      <c r="U67" s="31">
        <v>12</v>
      </c>
      <c r="V67" s="31"/>
      <c r="W67" s="30">
        <v>1</v>
      </c>
      <c r="X67" s="31"/>
      <c r="Y67" s="30">
        <v>0</v>
      </c>
      <c r="Z67" s="30">
        <v>0</v>
      </c>
      <c r="AA67" s="30">
        <v>0</v>
      </c>
      <c r="AB67" s="30">
        <f t="shared" ref="AB67:AB100" si="3">100+C67</f>
        <v>166</v>
      </c>
      <c r="AC67" s="31"/>
    </row>
    <row r="68" spans="1:29" x14ac:dyDescent="0.3">
      <c r="A68" s="30" t="s">
        <v>320</v>
      </c>
      <c r="B68" s="30" t="s">
        <v>210</v>
      </c>
      <c r="C68" s="30">
        <f t="shared" ref="C68:C100" si="4">C67+1</f>
        <v>67</v>
      </c>
      <c r="D68" s="30">
        <f t="shared" ref="D68:D100" si="5">IF(D67=1,2,1)</f>
        <v>1</v>
      </c>
      <c r="E68" s="30">
        <v>1</v>
      </c>
      <c r="F68" s="31"/>
      <c r="G68" s="31"/>
      <c r="H68" s="30">
        <v>4</v>
      </c>
      <c r="I68" s="31">
        <v>170</v>
      </c>
      <c r="J68" s="31">
        <v>180</v>
      </c>
      <c r="K68" s="30">
        <v>-1</v>
      </c>
      <c r="L68" s="30">
        <v>-1</v>
      </c>
      <c r="M68" s="30">
        <v>-1</v>
      </c>
      <c r="N68" s="30">
        <v>-1</v>
      </c>
      <c r="O68" s="31"/>
      <c r="P68" s="31"/>
      <c r="Q68" s="30">
        <v>90</v>
      </c>
      <c r="R68" s="30">
        <v>18000</v>
      </c>
      <c r="S68" s="30">
        <v>90</v>
      </c>
      <c r="T68" s="30">
        <v>14000</v>
      </c>
      <c r="U68" s="31">
        <v>12</v>
      </c>
      <c r="V68" s="31"/>
      <c r="W68" s="30">
        <v>1</v>
      </c>
      <c r="X68" s="31"/>
      <c r="Y68" s="30">
        <v>0</v>
      </c>
      <c r="Z68" s="30">
        <v>0</v>
      </c>
      <c r="AA68" s="30">
        <v>0</v>
      </c>
      <c r="AB68" s="30">
        <f t="shared" si="3"/>
        <v>167</v>
      </c>
      <c r="AC68" s="31"/>
    </row>
    <row r="69" spans="1:29" x14ac:dyDescent="0.3">
      <c r="A69" s="30" t="s">
        <v>320</v>
      </c>
      <c r="B69" s="30" t="s">
        <v>210</v>
      </c>
      <c r="C69" s="30">
        <f t="shared" si="4"/>
        <v>68</v>
      </c>
      <c r="D69" s="30">
        <f t="shared" si="5"/>
        <v>2</v>
      </c>
      <c r="E69" s="30">
        <v>1</v>
      </c>
      <c r="F69" s="31"/>
      <c r="G69" s="31"/>
      <c r="H69" s="30">
        <v>4</v>
      </c>
      <c r="I69" s="31">
        <v>170</v>
      </c>
      <c r="J69" s="31">
        <v>180</v>
      </c>
      <c r="K69" s="30">
        <v>-1</v>
      </c>
      <c r="L69" s="30">
        <v>-1</v>
      </c>
      <c r="M69" s="30">
        <v>-1</v>
      </c>
      <c r="N69" s="30">
        <v>-1</v>
      </c>
      <c r="O69" s="31"/>
      <c r="P69" s="31"/>
      <c r="Q69" s="30">
        <v>90</v>
      </c>
      <c r="R69" s="30">
        <v>18000</v>
      </c>
      <c r="S69" s="30">
        <v>90</v>
      </c>
      <c r="T69" s="30">
        <v>14000</v>
      </c>
      <c r="U69" s="31">
        <v>12</v>
      </c>
      <c r="V69" s="31"/>
      <c r="W69" s="30">
        <v>1</v>
      </c>
      <c r="X69" s="31"/>
      <c r="Y69" s="30">
        <v>0</v>
      </c>
      <c r="Z69" s="30">
        <v>0</v>
      </c>
      <c r="AA69" s="30">
        <v>0</v>
      </c>
      <c r="AB69" s="30">
        <f t="shared" si="3"/>
        <v>168</v>
      </c>
      <c r="AC69" s="31"/>
    </row>
    <row r="70" spans="1:29" x14ac:dyDescent="0.3">
      <c r="A70" s="30" t="s">
        <v>320</v>
      </c>
      <c r="B70" s="30" t="s">
        <v>210</v>
      </c>
      <c r="C70" s="30">
        <f t="shared" si="4"/>
        <v>69</v>
      </c>
      <c r="D70" s="30">
        <f t="shared" si="5"/>
        <v>1</v>
      </c>
      <c r="E70" s="30">
        <v>1</v>
      </c>
      <c r="F70" s="31"/>
      <c r="G70" s="31"/>
      <c r="H70" s="30">
        <v>4</v>
      </c>
      <c r="I70" s="31">
        <v>170</v>
      </c>
      <c r="J70" s="31">
        <v>180</v>
      </c>
      <c r="K70" s="30">
        <v>-1</v>
      </c>
      <c r="L70" s="30">
        <v>-1</v>
      </c>
      <c r="M70" s="30">
        <v>-1</v>
      </c>
      <c r="N70" s="30">
        <v>-1</v>
      </c>
      <c r="O70" s="31"/>
      <c r="P70" s="31"/>
      <c r="Q70" s="30">
        <v>90</v>
      </c>
      <c r="R70" s="30">
        <v>18000</v>
      </c>
      <c r="S70" s="30">
        <v>90</v>
      </c>
      <c r="T70" s="30">
        <v>14000</v>
      </c>
      <c r="U70" s="31">
        <v>12</v>
      </c>
      <c r="V70" s="31"/>
      <c r="W70" s="30">
        <v>1</v>
      </c>
      <c r="X70" s="31"/>
      <c r="Y70" s="30">
        <v>0</v>
      </c>
      <c r="Z70" s="30">
        <v>0</v>
      </c>
      <c r="AA70" s="30">
        <v>0</v>
      </c>
      <c r="AB70" s="30">
        <f t="shared" si="3"/>
        <v>169</v>
      </c>
      <c r="AC70" s="31"/>
    </row>
    <row r="71" spans="1:29" x14ac:dyDescent="0.3">
      <c r="A71" s="30" t="s">
        <v>320</v>
      </c>
      <c r="B71" s="30" t="s">
        <v>210</v>
      </c>
      <c r="C71" s="30">
        <f t="shared" si="4"/>
        <v>70</v>
      </c>
      <c r="D71" s="30">
        <f t="shared" si="5"/>
        <v>2</v>
      </c>
      <c r="E71" s="30">
        <v>1</v>
      </c>
      <c r="F71" s="31"/>
      <c r="G71" s="31"/>
      <c r="H71" s="30">
        <v>4</v>
      </c>
      <c r="I71" s="31">
        <v>170</v>
      </c>
      <c r="J71" s="31">
        <v>180</v>
      </c>
      <c r="K71" s="30">
        <v>-1</v>
      </c>
      <c r="L71" s="30">
        <v>-1</v>
      </c>
      <c r="M71" s="30">
        <v>-1</v>
      </c>
      <c r="N71" s="30">
        <v>-1</v>
      </c>
      <c r="O71" s="31"/>
      <c r="P71" s="31"/>
      <c r="Q71" s="30">
        <v>90</v>
      </c>
      <c r="R71" s="30">
        <v>18000</v>
      </c>
      <c r="S71" s="30">
        <v>90</v>
      </c>
      <c r="T71" s="30">
        <v>14000</v>
      </c>
      <c r="U71" s="31">
        <v>12</v>
      </c>
      <c r="V71" s="31"/>
      <c r="W71" s="30">
        <v>1</v>
      </c>
      <c r="X71" s="31"/>
      <c r="Y71" s="30">
        <v>0</v>
      </c>
      <c r="Z71" s="30">
        <v>0</v>
      </c>
      <c r="AA71" s="30">
        <v>0</v>
      </c>
      <c r="AB71" s="30">
        <f t="shared" si="3"/>
        <v>170</v>
      </c>
      <c r="AC71" s="31"/>
    </row>
    <row r="72" spans="1:29" x14ac:dyDescent="0.3">
      <c r="A72" s="30" t="s">
        <v>320</v>
      </c>
      <c r="B72" s="30" t="s">
        <v>210</v>
      </c>
      <c r="C72" s="30">
        <f t="shared" si="4"/>
        <v>71</v>
      </c>
      <c r="D72" s="30">
        <f t="shared" si="5"/>
        <v>1</v>
      </c>
      <c r="E72" s="30">
        <v>1</v>
      </c>
      <c r="F72" s="31"/>
      <c r="G72" s="31"/>
      <c r="H72" s="30">
        <v>4</v>
      </c>
      <c r="I72" s="31">
        <v>170</v>
      </c>
      <c r="J72" s="31">
        <v>180</v>
      </c>
      <c r="K72" s="30">
        <v>-1</v>
      </c>
      <c r="L72" s="30">
        <v>-1</v>
      </c>
      <c r="M72" s="30">
        <v>-1</v>
      </c>
      <c r="N72" s="30">
        <v>-1</v>
      </c>
      <c r="O72" s="31"/>
      <c r="P72" s="31"/>
      <c r="Q72" s="30">
        <v>90</v>
      </c>
      <c r="R72" s="30">
        <v>18000</v>
      </c>
      <c r="S72" s="30">
        <v>90</v>
      </c>
      <c r="T72" s="30">
        <v>14000</v>
      </c>
      <c r="U72" s="31">
        <v>12</v>
      </c>
      <c r="V72" s="31"/>
      <c r="W72" s="30">
        <v>1</v>
      </c>
      <c r="X72" s="31"/>
      <c r="Y72" s="30">
        <v>0</v>
      </c>
      <c r="Z72" s="30">
        <v>0</v>
      </c>
      <c r="AA72" s="30">
        <v>0</v>
      </c>
      <c r="AB72" s="30">
        <f t="shared" si="3"/>
        <v>171</v>
      </c>
      <c r="AC72" s="31"/>
    </row>
    <row r="73" spans="1:29" x14ac:dyDescent="0.3">
      <c r="A73" s="30" t="s">
        <v>320</v>
      </c>
      <c r="B73" s="30" t="s">
        <v>210</v>
      </c>
      <c r="C73" s="30">
        <f t="shared" si="4"/>
        <v>72</v>
      </c>
      <c r="D73" s="30">
        <f t="shared" si="5"/>
        <v>2</v>
      </c>
      <c r="E73" s="30">
        <v>1</v>
      </c>
      <c r="F73" s="31"/>
      <c r="G73" s="31"/>
      <c r="H73" s="30">
        <v>4</v>
      </c>
      <c r="I73" s="31">
        <v>170</v>
      </c>
      <c r="J73" s="31">
        <v>180</v>
      </c>
      <c r="K73" s="30">
        <v>-1</v>
      </c>
      <c r="L73" s="30">
        <v>-1</v>
      </c>
      <c r="M73" s="30">
        <v>-1</v>
      </c>
      <c r="N73" s="30">
        <v>-1</v>
      </c>
      <c r="O73" s="31"/>
      <c r="P73" s="31"/>
      <c r="Q73" s="30">
        <v>90</v>
      </c>
      <c r="R73" s="30">
        <v>18000</v>
      </c>
      <c r="S73" s="30">
        <v>90</v>
      </c>
      <c r="T73" s="30">
        <v>14000</v>
      </c>
      <c r="U73" s="31">
        <v>12</v>
      </c>
      <c r="V73" s="31"/>
      <c r="W73" s="30">
        <v>1</v>
      </c>
      <c r="X73" s="31"/>
      <c r="Y73" s="30">
        <v>0</v>
      </c>
      <c r="Z73" s="30">
        <v>0</v>
      </c>
      <c r="AA73" s="30">
        <v>0</v>
      </c>
      <c r="AB73" s="30">
        <f t="shared" si="3"/>
        <v>172</v>
      </c>
      <c r="AC73" s="31"/>
    </row>
    <row r="74" spans="1:29" x14ac:dyDescent="0.3">
      <c r="A74" s="30" t="s">
        <v>320</v>
      </c>
      <c r="B74" s="30" t="s">
        <v>210</v>
      </c>
      <c r="C74" s="30">
        <f t="shared" si="4"/>
        <v>73</v>
      </c>
      <c r="D74" s="30">
        <f t="shared" si="5"/>
        <v>1</v>
      </c>
      <c r="E74" s="30">
        <v>1</v>
      </c>
      <c r="F74" s="31"/>
      <c r="G74" s="31"/>
      <c r="H74" s="30">
        <v>4</v>
      </c>
      <c r="I74" s="31">
        <v>170</v>
      </c>
      <c r="J74" s="31">
        <v>180</v>
      </c>
      <c r="K74" s="30">
        <v>-1</v>
      </c>
      <c r="L74" s="30">
        <v>-1</v>
      </c>
      <c r="M74" s="30">
        <v>-1</v>
      </c>
      <c r="N74" s="30">
        <v>-1</v>
      </c>
      <c r="O74" s="31"/>
      <c r="P74" s="31"/>
      <c r="Q74" s="30">
        <v>90</v>
      </c>
      <c r="R74" s="30">
        <v>18000</v>
      </c>
      <c r="S74" s="30">
        <v>90</v>
      </c>
      <c r="T74" s="30">
        <v>14000</v>
      </c>
      <c r="U74" s="31">
        <v>12</v>
      </c>
      <c r="V74" s="31"/>
      <c r="W74" s="30">
        <v>1</v>
      </c>
      <c r="X74" s="31"/>
      <c r="Y74" s="30">
        <v>0</v>
      </c>
      <c r="Z74" s="30">
        <v>0</v>
      </c>
      <c r="AA74" s="30">
        <v>0</v>
      </c>
      <c r="AB74" s="30">
        <f t="shared" si="3"/>
        <v>173</v>
      </c>
      <c r="AC74" s="31"/>
    </row>
    <row r="75" spans="1:29" x14ac:dyDescent="0.3">
      <c r="A75" s="30" t="s">
        <v>320</v>
      </c>
      <c r="B75" s="30" t="s">
        <v>210</v>
      </c>
      <c r="C75" s="30">
        <f t="shared" si="4"/>
        <v>74</v>
      </c>
      <c r="D75" s="30">
        <f t="shared" si="5"/>
        <v>2</v>
      </c>
      <c r="E75" s="30">
        <v>1</v>
      </c>
      <c r="F75" s="31"/>
      <c r="G75" s="31"/>
      <c r="H75" s="30">
        <v>4</v>
      </c>
      <c r="I75" s="31">
        <v>170</v>
      </c>
      <c r="J75" s="31">
        <v>180</v>
      </c>
      <c r="K75" s="30">
        <v>-1</v>
      </c>
      <c r="L75" s="30">
        <v>-1</v>
      </c>
      <c r="M75" s="30">
        <v>-1</v>
      </c>
      <c r="N75" s="30">
        <v>-1</v>
      </c>
      <c r="O75" s="31"/>
      <c r="P75" s="31"/>
      <c r="Q75" s="30">
        <v>90</v>
      </c>
      <c r="R75" s="30">
        <v>18000</v>
      </c>
      <c r="S75" s="30">
        <v>90</v>
      </c>
      <c r="T75" s="30">
        <v>14000</v>
      </c>
      <c r="U75" s="31">
        <v>12</v>
      </c>
      <c r="V75" s="31"/>
      <c r="W75" s="30">
        <v>1</v>
      </c>
      <c r="X75" s="31"/>
      <c r="Y75" s="30">
        <v>0</v>
      </c>
      <c r="Z75" s="30">
        <v>0</v>
      </c>
      <c r="AA75" s="30">
        <v>0</v>
      </c>
      <c r="AB75" s="30">
        <f t="shared" si="3"/>
        <v>174</v>
      </c>
      <c r="AC75" s="31"/>
    </row>
    <row r="76" spans="1:29" x14ac:dyDescent="0.3">
      <c r="A76" s="30" t="s">
        <v>320</v>
      </c>
      <c r="B76" s="30" t="s">
        <v>210</v>
      </c>
      <c r="C76" s="30">
        <f t="shared" si="4"/>
        <v>75</v>
      </c>
      <c r="D76" s="30">
        <f t="shared" si="5"/>
        <v>1</v>
      </c>
      <c r="E76" s="30">
        <v>1</v>
      </c>
      <c r="F76" s="31"/>
      <c r="G76" s="31"/>
      <c r="H76" s="30">
        <v>4</v>
      </c>
      <c r="I76" s="31">
        <v>170</v>
      </c>
      <c r="J76" s="31">
        <v>180</v>
      </c>
      <c r="K76" s="30">
        <v>-1</v>
      </c>
      <c r="L76" s="30">
        <v>-1</v>
      </c>
      <c r="M76" s="30">
        <v>-1</v>
      </c>
      <c r="N76" s="30">
        <v>-1</v>
      </c>
      <c r="O76" s="31"/>
      <c r="P76" s="31"/>
      <c r="Q76" s="30">
        <v>90</v>
      </c>
      <c r="R76" s="30">
        <v>18000</v>
      </c>
      <c r="S76" s="30">
        <v>90</v>
      </c>
      <c r="T76" s="30">
        <v>14000</v>
      </c>
      <c r="U76" s="31">
        <v>12</v>
      </c>
      <c r="V76" s="31"/>
      <c r="W76" s="30">
        <v>1</v>
      </c>
      <c r="X76" s="31"/>
      <c r="Y76" s="30">
        <v>0</v>
      </c>
      <c r="Z76" s="30">
        <v>0</v>
      </c>
      <c r="AA76" s="30">
        <v>0</v>
      </c>
      <c r="AB76" s="30">
        <f t="shared" si="3"/>
        <v>175</v>
      </c>
      <c r="AC76" s="31"/>
    </row>
    <row r="77" spans="1:29" x14ac:dyDescent="0.3">
      <c r="A77" s="30" t="s">
        <v>320</v>
      </c>
      <c r="B77" s="30" t="s">
        <v>210</v>
      </c>
      <c r="C77" s="30">
        <f t="shared" si="4"/>
        <v>76</v>
      </c>
      <c r="D77" s="30">
        <f t="shared" si="5"/>
        <v>2</v>
      </c>
      <c r="E77" s="30">
        <v>1</v>
      </c>
      <c r="F77" s="31"/>
      <c r="G77" s="31"/>
      <c r="H77" s="30">
        <v>4</v>
      </c>
      <c r="I77" s="31">
        <v>170</v>
      </c>
      <c r="J77" s="31">
        <v>180</v>
      </c>
      <c r="K77" s="30">
        <v>-1</v>
      </c>
      <c r="L77" s="30">
        <v>-1</v>
      </c>
      <c r="M77" s="30">
        <v>-1</v>
      </c>
      <c r="N77" s="30">
        <v>-1</v>
      </c>
      <c r="O77" s="31"/>
      <c r="P77" s="31"/>
      <c r="Q77" s="30">
        <v>90</v>
      </c>
      <c r="R77" s="30">
        <v>18000</v>
      </c>
      <c r="S77" s="30">
        <v>90</v>
      </c>
      <c r="T77" s="30">
        <v>14000</v>
      </c>
      <c r="U77" s="31">
        <v>12</v>
      </c>
      <c r="V77" s="31"/>
      <c r="W77" s="30">
        <v>1</v>
      </c>
      <c r="X77" s="31"/>
      <c r="Y77" s="30">
        <v>0</v>
      </c>
      <c r="Z77" s="30">
        <v>0</v>
      </c>
      <c r="AA77" s="30">
        <v>0</v>
      </c>
      <c r="AB77" s="30">
        <f t="shared" si="3"/>
        <v>176</v>
      </c>
      <c r="AC77" s="31"/>
    </row>
    <row r="78" spans="1:29" x14ac:dyDescent="0.3">
      <c r="A78" s="30" t="s">
        <v>320</v>
      </c>
      <c r="B78" s="30" t="s">
        <v>210</v>
      </c>
      <c r="C78" s="30">
        <f t="shared" si="4"/>
        <v>77</v>
      </c>
      <c r="D78" s="30">
        <f t="shared" si="5"/>
        <v>1</v>
      </c>
      <c r="E78" s="30">
        <v>1</v>
      </c>
      <c r="F78" s="31"/>
      <c r="G78" s="31"/>
      <c r="H78" s="30">
        <v>4</v>
      </c>
      <c r="I78" s="31">
        <v>170</v>
      </c>
      <c r="J78" s="31">
        <v>180</v>
      </c>
      <c r="K78" s="30">
        <v>-1</v>
      </c>
      <c r="L78" s="30">
        <v>-1</v>
      </c>
      <c r="M78" s="30">
        <v>-1</v>
      </c>
      <c r="N78" s="30">
        <v>-1</v>
      </c>
      <c r="O78" s="31"/>
      <c r="P78" s="31"/>
      <c r="Q78" s="30">
        <v>90</v>
      </c>
      <c r="R78" s="30">
        <v>18000</v>
      </c>
      <c r="S78" s="30">
        <v>90</v>
      </c>
      <c r="T78" s="30">
        <v>14000</v>
      </c>
      <c r="U78" s="31">
        <v>12</v>
      </c>
      <c r="V78" s="31"/>
      <c r="W78" s="30">
        <v>1</v>
      </c>
      <c r="X78" s="31"/>
      <c r="Y78" s="30">
        <v>0</v>
      </c>
      <c r="Z78" s="30">
        <v>0</v>
      </c>
      <c r="AA78" s="30">
        <v>0</v>
      </c>
      <c r="AB78" s="30">
        <f t="shared" si="3"/>
        <v>177</v>
      </c>
      <c r="AC78" s="31"/>
    </row>
    <row r="79" spans="1:29" x14ac:dyDescent="0.3">
      <c r="A79" s="30" t="s">
        <v>320</v>
      </c>
      <c r="B79" s="30" t="s">
        <v>210</v>
      </c>
      <c r="C79" s="30">
        <f t="shared" si="4"/>
        <v>78</v>
      </c>
      <c r="D79" s="30">
        <f t="shared" si="5"/>
        <v>2</v>
      </c>
      <c r="E79" s="30">
        <v>1</v>
      </c>
      <c r="F79" s="31"/>
      <c r="G79" s="31"/>
      <c r="H79" s="30">
        <v>4</v>
      </c>
      <c r="I79" s="31">
        <v>170</v>
      </c>
      <c r="J79" s="31">
        <v>180</v>
      </c>
      <c r="K79" s="30">
        <v>-1</v>
      </c>
      <c r="L79" s="30">
        <v>-1</v>
      </c>
      <c r="M79" s="30">
        <v>-1</v>
      </c>
      <c r="N79" s="30">
        <v>-1</v>
      </c>
      <c r="O79" s="31"/>
      <c r="P79" s="31"/>
      <c r="Q79" s="30">
        <v>90</v>
      </c>
      <c r="R79" s="30">
        <v>18000</v>
      </c>
      <c r="S79" s="30">
        <v>90</v>
      </c>
      <c r="T79" s="30">
        <v>14000</v>
      </c>
      <c r="U79" s="31">
        <v>12</v>
      </c>
      <c r="V79" s="31"/>
      <c r="W79" s="30">
        <v>1</v>
      </c>
      <c r="X79" s="31"/>
      <c r="Y79" s="30">
        <v>0</v>
      </c>
      <c r="Z79" s="30">
        <v>0</v>
      </c>
      <c r="AA79" s="30">
        <v>0</v>
      </c>
      <c r="AB79" s="30">
        <f t="shared" si="3"/>
        <v>178</v>
      </c>
      <c r="AC79" s="31"/>
    </row>
    <row r="80" spans="1:29" x14ac:dyDescent="0.3">
      <c r="A80" s="30" t="s">
        <v>320</v>
      </c>
      <c r="B80" s="30" t="s">
        <v>210</v>
      </c>
      <c r="C80" s="30">
        <f t="shared" si="4"/>
        <v>79</v>
      </c>
      <c r="D80" s="30">
        <f t="shared" si="5"/>
        <v>1</v>
      </c>
      <c r="E80" s="30">
        <v>1</v>
      </c>
      <c r="F80" s="31"/>
      <c r="G80" s="31"/>
      <c r="H80" s="30">
        <v>4</v>
      </c>
      <c r="I80" s="31">
        <v>170</v>
      </c>
      <c r="J80" s="31">
        <v>180</v>
      </c>
      <c r="K80" s="30">
        <v>-1</v>
      </c>
      <c r="L80" s="30">
        <v>-1</v>
      </c>
      <c r="M80" s="30">
        <v>-1</v>
      </c>
      <c r="N80" s="30">
        <v>-1</v>
      </c>
      <c r="O80" s="31"/>
      <c r="P80" s="31"/>
      <c r="Q80" s="30">
        <v>90</v>
      </c>
      <c r="R80" s="30">
        <v>18000</v>
      </c>
      <c r="S80" s="30">
        <v>90</v>
      </c>
      <c r="T80" s="30">
        <v>14000</v>
      </c>
      <c r="U80" s="31">
        <v>12</v>
      </c>
      <c r="V80" s="31"/>
      <c r="W80" s="30">
        <v>1</v>
      </c>
      <c r="X80" s="31"/>
      <c r="Y80" s="30">
        <v>0</v>
      </c>
      <c r="Z80" s="30">
        <v>0</v>
      </c>
      <c r="AA80" s="30">
        <v>0</v>
      </c>
      <c r="AB80" s="30">
        <f t="shared" si="3"/>
        <v>179</v>
      </c>
      <c r="AC80" s="31"/>
    </row>
    <row r="81" spans="1:29" x14ac:dyDescent="0.3">
      <c r="A81" s="30" t="s">
        <v>320</v>
      </c>
      <c r="B81" s="30" t="s">
        <v>210</v>
      </c>
      <c r="C81" s="30">
        <f t="shared" si="4"/>
        <v>80</v>
      </c>
      <c r="D81" s="30">
        <f t="shared" si="5"/>
        <v>2</v>
      </c>
      <c r="E81" s="30">
        <v>1</v>
      </c>
      <c r="F81" s="31"/>
      <c r="G81" s="31"/>
      <c r="H81" s="30">
        <v>4</v>
      </c>
      <c r="I81" s="31">
        <v>170</v>
      </c>
      <c r="J81" s="31">
        <v>180</v>
      </c>
      <c r="K81" s="30">
        <v>-1</v>
      </c>
      <c r="L81" s="30">
        <v>-1</v>
      </c>
      <c r="M81" s="30">
        <v>-1</v>
      </c>
      <c r="N81" s="30">
        <v>-1</v>
      </c>
      <c r="O81" s="31"/>
      <c r="P81" s="31"/>
      <c r="Q81" s="30">
        <v>90</v>
      </c>
      <c r="R81" s="30">
        <v>18000</v>
      </c>
      <c r="S81" s="30">
        <v>90</v>
      </c>
      <c r="T81" s="30">
        <v>14000</v>
      </c>
      <c r="U81" s="31">
        <v>12</v>
      </c>
      <c r="V81" s="31"/>
      <c r="W81" s="30">
        <v>1</v>
      </c>
      <c r="X81" s="31"/>
      <c r="Y81" s="30">
        <v>0</v>
      </c>
      <c r="Z81" s="30">
        <v>0</v>
      </c>
      <c r="AA81" s="30">
        <v>0</v>
      </c>
      <c r="AB81" s="30">
        <f t="shared" si="3"/>
        <v>180</v>
      </c>
      <c r="AC81" s="31"/>
    </row>
    <row r="82" spans="1:29" x14ac:dyDescent="0.3">
      <c r="A82" s="30" t="s">
        <v>320</v>
      </c>
      <c r="B82" s="30" t="s">
        <v>210</v>
      </c>
      <c r="C82" s="30">
        <f t="shared" si="4"/>
        <v>81</v>
      </c>
      <c r="D82" s="30">
        <f t="shared" si="5"/>
        <v>1</v>
      </c>
      <c r="E82" s="30">
        <v>1</v>
      </c>
      <c r="F82" s="31"/>
      <c r="G82" s="31"/>
      <c r="H82" s="30">
        <v>4</v>
      </c>
      <c r="I82" s="31">
        <v>170</v>
      </c>
      <c r="J82" s="31">
        <v>180</v>
      </c>
      <c r="K82" s="30">
        <v>-1</v>
      </c>
      <c r="L82" s="30">
        <v>-1</v>
      </c>
      <c r="M82" s="30">
        <v>-1</v>
      </c>
      <c r="N82" s="30">
        <v>-1</v>
      </c>
      <c r="O82" s="31"/>
      <c r="P82" s="31"/>
      <c r="Q82" s="30">
        <v>90</v>
      </c>
      <c r="R82" s="30">
        <v>18000</v>
      </c>
      <c r="S82" s="30">
        <v>90</v>
      </c>
      <c r="T82" s="30">
        <v>14000</v>
      </c>
      <c r="U82" s="31">
        <v>12</v>
      </c>
      <c r="V82" s="31"/>
      <c r="W82" s="30">
        <v>1</v>
      </c>
      <c r="X82" s="31"/>
      <c r="Y82" s="30">
        <v>0</v>
      </c>
      <c r="Z82" s="30">
        <v>0</v>
      </c>
      <c r="AA82" s="30">
        <v>0</v>
      </c>
      <c r="AB82" s="30">
        <f t="shared" si="3"/>
        <v>181</v>
      </c>
      <c r="AC82" s="31"/>
    </row>
    <row r="83" spans="1:29" x14ac:dyDescent="0.3">
      <c r="A83" s="30" t="s">
        <v>320</v>
      </c>
      <c r="B83" s="30" t="s">
        <v>210</v>
      </c>
      <c r="C83" s="30">
        <f t="shared" si="4"/>
        <v>82</v>
      </c>
      <c r="D83" s="30">
        <f t="shared" si="5"/>
        <v>2</v>
      </c>
      <c r="E83" s="30">
        <v>1</v>
      </c>
      <c r="F83" s="31"/>
      <c r="G83" s="31"/>
      <c r="H83" s="30">
        <v>4</v>
      </c>
      <c r="I83" s="31">
        <v>170</v>
      </c>
      <c r="J83" s="31">
        <v>180</v>
      </c>
      <c r="K83" s="30">
        <v>-1</v>
      </c>
      <c r="L83" s="30">
        <v>-1</v>
      </c>
      <c r="M83" s="30">
        <v>-1</v>
      </c>
      <c r="N83" s="30">
        <v>-1</v>
      </c>
      <c r="O83" s="31"/>
      <c r="P83" s="31"/>
      <c r="Q83" s="30">
        <v>90</v>
      </c>
      <c r="R83" s="30">
        <v>18000</v>
      </c>
      <c r="S83" s="30">
        <v>90</v>
      </c>
      <c r="T83" s="30">
        <v>14000</v>
      </c>
      <c r="U83" s="31">
        <v>12</v>
      </c>
      <c r="V83" s="31"/>
      <c r="W83" s="30">
        <v>1</v>
      </c>
      <c r="X83" s="31"/>
      <c r="Y83" s="30">
        <v>0</v>
      </c>
      <c r="Z83" s="30">
        <v>0</v>
      </c>
      <c r="AA83" s="30">
        <v>0</v>
      </c>
      <c r="AB83" s="30">
        <f t="shared" si="3"/>
        <v>182</v>
      </c>
      <c r="AC83" s="31"/>
    </row>
    <row r="84" spans="1:29" x14ac:dyDescent="0.3">
      <c r="A84" s="30" t="s">
        <v>320</v>
      </c>
      <c r="B84" s="30" t="s">
        <v>210</v>
      </c>
      <c r="C84" s="30">
        <f t="shared" si="4"/>
        <v>83</v>
      </c>
      <c r="D84" s="30">
        <f t="shared" si="5"/>
        <v>1</v>
      </c>
      <c r="E84" s="30">
        <v>1</v>
      </c>
      <c r="F84" s="31"/>
      <c r="G84" s="31"/>
      <c r="H84" s="30">
        <v>4</v>
      </c>
      <c r="I84" s="31">
        <v>170</v>
      </c>
      <c r="J84" s="31">
        <v>180</v>
      </c>
      <c r="K84" s="30">
        <v>-1</v>
      </c>
      <c r="L84" s="30">
        <v>-1</v>
      </c>
      <c r="M84" s="30">
        <v>-1</v>
      </c>
      <c r="N84" s="30">
        <v>-1</v>
      </c>
      <c r="O84" s="31"/>
      <c r="P84" s="31"/>
      <c r="Q84" s="30">
        <v>90</v>
      </c>
      <c r="R84" s="30">
        <v>18000</v>
      </c>
      <c r="S84" s="30">
        <v>90</v>
      </c>
      <c r="T84" s="30">
        <v>14000</v>
      </c>
      <c r="U84" s="31">
        <v>12</v>
      </c>
      <c r="V84" s="31"/>
      <c r="W84" s="30">
        <v>1</v>
      </c>
      <c r="X84" s="31"/>
      <c r="Y84" s="30">
        <v>0</v>
      </c>
      <c r="Z84" s="30">
        <v>0</v>
      </c>
      <c r="AA84" s="30">
        <v>0</v>
      </c>
      <c r="AB84" s="30">
        <f t="shared" si="3"/>
        <v>183</v>
      </c>
      <c r="AC84" s="31"/>
    </row>
    <row r="85" spans="1:29" x14ac:dyDescent="0.3">
      <c r="A85" s="30" t="s">
        <v>320</v>
      </c>
      <c r="B85" s="30" t="s">
        <v>210</v>
      </c>
      <c r="C85" s="30">
        <f t="shared" si="4"/>
        <v>84</v>
      </c>
      <c r="D85" s="30">
        <f t="shared" si="5"/>
        <v>2</v>
      </c>
      <c r="E85" s="30">
        <v>1</v>
      </c>
      <c r="F85" s="31"/>
      <c r="G85" s="31"/>
      <c r="H85" s="30">
        <v>4</v>
      </c>
      <c r="I85" s="31">
        <v>170</v>
      </c>
      <c r="J85" s="31">
        <v>180</v>
      </c>
      <c r="K85" s="30">
        <v>-1</v>
      </c>
      <c r="L85" s="30">
        <v>-1</v>
      </c>
      <c r="M85" s="30">
        <v>-1</v>
      </c>
      <c r="N85" s="30">
        <v>-1</v>
      </c>
      <c r="O85" s="31"/>
      <c r="P85" s="31"/>
      <c r="Q85" s="30">
        <v>90</v>
      </c>
      <c r="R85" s="30">
        <v>18000</v>
      </c>
      <c r="S85" s="30">
        <v>90</v>
      </c>
      <c r="T85" s="30">
        <v>14000</v>
      </c>
      <c r="U85" s="31">
        <v>12</v>
      </c>
      <c r="V85" s="31"/>
      <c r="W85" s="30">
        <v>1</v>
      </c>
      <c r="X85" s="31"/>
      <c r="Y85" s="30">
        <v>0</v>
      </c>
      <c r="Z85" s="30">
        <v>0</v>
      </c>
      <c r="AA85" s="30">
        <v>0</v>
      </c>
      <c r="AB85" s="30">
        <f t="shared" si="3"/>
        <v>184</v>
      </c>
      <c r="AC85" s="31"/>
    </row>
    <row r="86" spans="1:29" x14ac:dyDescent="0.3">
      <c r="A86" s="30" t="s">
        <v>320</v>
      </c>
      <c r="B86" s="30" t="s">
        <v>210</v>
      </c>
      <c r="C86" s="30">
        <f t="shared" si="4"/>
        <v>85</v>
      </c>
      <c r="D86" s="30">
        <f t="shared" si="5"/>
        <v>1</v>
      </c>
      <c r="E86" s="30">
        <v>1</v>
      </c>
      <c r="F86" s="31"/>
      <c r="G86" s="31"/>
      <c r="H86" s="30">
        <v>4</v>
      </c>
      <c r="I86" s="31">
        <v>170</v>
      </c>
      <c r="J86" s="31">
        <v>180</v>
      </c>
      <c r="K86" s="30">
        <v>-1</v>
      </c>
      <c r="L86" s="30">
        <v>-1</v>
      </c>
      <c r="M86" s="30">
        <v>-1</v>
      </c>
      <c r="N86" s="30">
        <v>-1</v>
      </c>
      <c r="O86" s="31"/>
      <c r="P86" s="31"/>
      <c r="Q86" s="30">
        <v>90</v>
      </c>
      <c r="R86" s="30">
        <v>18000</v>
      </c>
      <c r="S86" s="30">
        <v>90</v>
      </c>
      <c r="T86" s="30">
        <v>14000</v>
      </c>
      <c r="U86" s="31">
        <v>12</v>
      </c>
      <c r="V86" s="31"/>
      <c r="W86" s="30">
        <v>1</v>
      </c>
      <c r="X86" s="31"/>
      <c r="Y86" s="30">
        <v>0</v>
      </c>
      <c r="Z86" s="30">
        <v>0</v>
      </c>
      <c r="AA86" s="30">
        <v>0</v>
      </c>
      <c r="AB86" s="30">
        <f t="shared" si="3"/>
        <v>185</v>
      </c>
      <c r="AC86" s="31"/>
    </row>
    <row r="87" spans="1:29" x14ac:dyDescent="0.3">
      <c r="A87" s="30" t="s">
        <v>320</v>
      </c>
      <c r="B87" s="30" t="s">
        <v>210</v>
      </c>
      <c r="C87" s="30">
        <f t="shared" si="4"/>
        <v>86</v>
      </c>
      <c r="D87" s="30">
        <f t="shared" si="5"/>
        <v>2</v>
      </c>
      <c r="E87" s="30">
        <v>1</v>
      </c>
      <c r="F87" s="31"/>
      <c r="G87" s="31"/>
      <c r="H87" s="30">
        <v>4</v>
      </c>
      <c r="I87" s="31">
        <v>170</v>
      </c>
      <c r="J87" s="31">
        <v>180</v>
      </c>
      <c r="K87" s="30">
        <v>-1</v>
      </c>
      <c r="L87" s="30">
        <v>-1</v>
      </c>
      <c r="M87" s="30">
        <v>-1</v>
      </c>
      <c r="N87" s="30">
        <v>-1</v>
      </c>
      <c r="O87" s="31"/>
      <c r="P87" s="31"/>
      <c r="Q87" s="30">
        <v>90</v>
      </c>
      <c r="R87" s="30">
        <v>18000</v>
      </c>
      <c r="S87" s="30">
        <v>90</v>
      </c>
      <c r="T87" s="30">
        <v>14000</v>
      </c>
      <c r="U87" s="31">
        <v>12</v>
      </c>
      <c r="V87" s="31"/>
      <c r="W87" s="30">
        <v>1</v>
      </c>
      <c r="X87" s="31"/>
      <c r="Y87" s="30">
        <v>0</v>
      </c>
      <c r="Z87" s="30">
        <v>0</v>
      </c>
      <c r="AA87" s="30">
        <v>0</v>
      </c>
      <c r="AB87" s="30">
        <f t="shared" si="3"/>
        <v>186</v>
      </c>
      <c r="AC87" s="31"/>
    </row>
    <row r="88" spans="1:29" x14ac:dyDescent="0.3">
      <c r="A88" s="30" t="s">
        <v>320</v>
      </c>
      <c r="B88" s="30" t="s">
        <v>210</v>
      </c>
      <c r="C88" s="30">
        <f t="shared" si="4"/>
        <v>87</v>
      </c>
      <c r="D88" s="30">
        <f t="shared" si="5"/>
        <v>1</v>
      </c>
      <c r="E88" s="30">
        <v>1</v>
      </c>
      <c r="F88" s="31"/>
      <c r="G88" s="31"/>
      <c r="H88" s="30">
        <v>4</v>
      </c>
      <c r="I88" s="31">
        <v>170</v>
      </c>
      <c r="J88" s="31">
        <v>180</v>
      </c>
      <c r="K88" s="30">
        <v>-1</v>
      </c>
      <c r="L88" s="30">
        <v>-1</v>
      </c>
      <c r="M88" s="30">
        <v>-1</v>
      </c>
      <c r="N88" s="30">
        <v>-1</v>
      </c>
      <c r="O88" s="31"/>
      <c r="P88" s="31"/>
      <c r="Q88" s="30">
        <v>90</v>
      </c>
      <c r="R88" s="30">
        <v>18000</v>
      </c>
      <c r="S88" s="30">
        <v>90</v>
      </c>
      <c r="T88" s="30">
        <v>14000</v>
      </c>
      <c r="U88" s="31">
        <v>12</v>
      </c>
      <c r="V88" s="31"/>
      <c r="W88" s="30">
        <v>1</v>
      </c>
      <c r="X88" s="31"/>
      <c r="Y88" s="30">
        <v>0</v>
      </c>
      <c r="Z88" s="30">
        <v>0</v>
      </c>
      <c r="AA88" s="30">
        <v>0</v>
      </c>
      <c r="AB88" s="30">
        <f t="shared" si="3"/>
        <v>187</v>
      </c>
      <c r="AC88" s="31"/>
    </row>
    <row r="89" spans="1:29" x14ac:dyDescent="0.3">
      <c r="A89" s="30" t="s">
        <v>320</v>
      </c>
      <c r="B89" s="30" t="s">
        <v>210</v>
      </c>
      <c r="C89" s="30">
        <f t="shared" si="4"/>
        <v>88</v>
      </c>
      <c r="D89" s="30">
        <f t="shared" si="5"/>
        <v>2</v>
      </c>
      <c r="E89" s="30">
        <v>1</v>
      </c>
      <c r="F89" s="31"/>
      <c r="G89" s="31"/>
      <c r="H89" s="30">
        <v>4</v>
      </c>
      <c r="I89" s="31">
        <v>170</v>
      </c>
      <c r="J89" s="31">
        <v>180</v>
      </c>
      <c r="K89" s="30">
        <v>-1</v>
      </c>
      <c r="L89" s="30">
        <v>-1</v>
      </c>
      <c r="M89" s="30">
        <v>-1</v>
      </c>
      <c r="N89" s="30">
        <v>-1</v>
      </c>
      <c r="O89" s="31"/>
      <c r="P89" s="31"/>
      <c r="Q89" s="30">
        <v>90</v>
      </c>
      <c r="R89" s="30">
        <v>18000</v>
      </c>
      <c r="S89" s="30">
        <v>90</v>
      </c>
      <c r="T89" s="30">
        <v>14000</v>
      </c>
      <c r="U89" s="31">
        <v>12</v>
      </c>
      <c r="V89" s="31"/>
      <c r="W89" s="30">
        <v>1</v>
      </c>
      <c r="X89" s="31"/>
      <c r="Y89" s="30">
        <v>0</v>
      </c>
      <c r="Z89" s="30">
        <v>0</v>
      </c>
      <c r="AA89" s="30">
        <v>0</v>
      </c>
      <c r="AB89" s="30">
        <f t="shared" si="3"/>
        <v>188</v>
      </c>
      <c r="AC89" s="31"/>
    </row>
    <row r="90" spans="1:29" x14ac:dyDescent="0.3">
      <c r="A90" s="30" t="s">
        <v>320</v>
      </c>
      <c r="B90" s="30" t="s">
        <v>210</v>
      </c>
      <c r="C90" s="30">
        <f t="shared" si="4"/>
        <v>89</v>
      </c>
      <c r="D90" s="30">
        <f t="shared" si="5"/>
        <v>1</v>
      </c>
      <c r="E90" s="30">
        <v>1</v>
      </c>
      <c r="F90" s="31"/>
      <c r="G90" s="31"/>
      <c r="H90" s="30">
        <v>4</v>
      </c>
      <c r="I90" s="31">
        <v>170</v>
      </c>
      <c r="J90" s="31">
        <v>180</v>
      </c>
      <c r="K90" s="30">
        <v>-1</v>
      </c>
      <c r="L90" s="30">
        <v>-1</v>
      </c>
      <c r="M90" s="30">
        <v>-1</v>
      </c>
      <c r="N90" s="30">
        <v>-1</v>
      </c>
      <c r="O90" s="31"/>
      <c r="P90" s="31"/>
      <c r="Q90" s="30">
        <v>90</v>
      </c>
      <c r="R90" s="30">
        <v>18000</v>
      </c>
      <c r="S90" s="30">
        <v>90</v>
      </c>
      <c r="T90" s="30">
        <v>14000</v>
      </c>
      <c r="U90" s="31">
        <v>12</v>
      </c>
      <c r="V90" s="31"/>
      <c r="W90" s="30">
        <v>1</v>
      </c>
      <c r="X90" s="31"/>
      <c r="Y90" s="30">
        <v>0</v>
      </c>
      <c r="Z90" s="30">
        <v>0</v>
      </c>
      <c r="AA90" s="30">
        <v>0</v>
      </c>
      <c r="AB90" s="30">
        <f t="shared" si="3"/>
        <v>189</v>
      </c>
      <c r="AC90" s="31"/>
    </row>
    <row r="91" spans="1:29" x14ac:dyDescent="0.3">
      <c r="A91" s="30" t="s">
        <v>320</v>
      </c>
      <c r="B91" s="30" t="s">
        <v>210</v>
      </c>
      <c r="C91" s="30">
        <f t="shared" si="4"/>
        <v>90</v>
      </c>
      <c r="D91" s="30">
        <f t="shared" si="5"/>
        <v>2</v>
      </c>
      <c r="E91" s="30">
        <v>1</v>
      </c>
      <c r="F91" s="31"/>
      <c r="G91" s="31"/>
      <c r="H91" s="30">
        <v>4</v>
      </c>
      <c r="I91" s="31">
        <v>170</v>
      </c>
      <c r="J91" s="31">
        <v>180</v>
      </c>
      <c r="K91" s="30">
        <v>-1</v>
      </c>
      <c r="L91" s="30">
        <v>-1</v>
      </c>
      <c r="M91" s="30">
        <v>-1</v>
      </c>
      <c r="N91" s="30">
        <v>-1</v>
      </c>
      <c r="O91" s="31"/>
      <c r="P91" s="31"/>
      <c r="Q91" s="30">
        <v>90</v>
      </c>
      <c r="R91" s="30">
        <v>18000</v>
      </c>
      <c r="S91" s="30">
        <v>90</v>
      </c>
      <c r="T91" s="30">
        <v>14000</v>
      </c>
      <c r="U91" s="31">
        <v>12</v>
      </c>
      <c r="V91" s="31"/>
      <c r="W91" s="30">
        <v>1</v>
      </c>
      <c r="X91" s="31"/>
      <c r="Y91" s="30">
        <v>0</v>
      </c>
      <c r="Z91" s="30">
        <v>0</v>
      </c>
      <c r="AA91" s="30">
        <v>0</v>
      </c>
      <c r="AB91" s="30">
        <f t="shared" si="3"/>
        <v>190</v>
      </c>
      <c r="AC91" s="31"/>
    </row>
    <row r="92" spans="1:29" x14ac:dyDescent="0.3">
      <c r="A92" s="30" t="s">
        <v>320</v>
      </c>
      <c r="B92" s="30" t="s">
        <v>210</v>
      </c>
      <c r="C92" s="30">
        <f t="shared" si="4"/>
        <v>91</v>
      </c>
      <c r="D92" s="30">
        <f t="shared" si="5"/>
        <v>1</v>
      </c>
      <c r="E92" s="30">
        <v>1</v>
      </c>
      <c r="F92" s="31"/>
      <c r="G92" s="31"/>
      <c r="H92" s="30">
        <v>4</v>
      </c>
      <c r="I92" s="31">
        <v>170</v>
      </c>
      <c r="J92" s="31">
        <v>180</v>
      </c>
      <c r="K92" s="30">
        <v>-1</v>
      </c>
      <c r="L92" s="30">
        <v>-1</v>
      </c>
      <c r="M92" s="30">
        <v>-1</v>
      </c>
      <c r="N92" s="30">
        <v>-1</v>
      </c>
      <c r="O92" s="31"/>
      <c r="P92" s="31"/>
      <c r="Q92" s="30">
        <v>90</v>
      </c>
      <c r="R92" s="30">
        <v>18000</v>
      </c>
      <c r="S92" s="30">
        <v>90</v>
      </c>
      <c r="T92" s="30">
        <v>14000</v>
      </c>
      <c r="U92" s="31">
        <v>12</v>
      </c>
      <c r="V92" s="31"/>
      <c r="W92" s="30">
        <v>1</v>
      </c>
      <c r="X92" s="31"/>
      <c r="Y92" s="30">
        <v>0</v>
      </c>
      <c r="Z92" s="30">
        <v>0</v>
      </c>
      <c r="AA92" s="30">
        <v>0</v>
      </c>
      <c r="AB92" s="30">
        <f t="shared" si="3"/>
        <v>191</v>
      </c>
      <c r="AC92" s="31"/>
    </row>
    <row r="93" spans="1:29" x14ac:dyDescent="0.3">
      <c r="A93" s="30" t="s">
        <v>320</v>
      </c>
      <c r="B93" s="30" t="s">
        <v>210</v>
      </c>
      <c r="C93" s="30">
        <f t="shared" si="4"/>
        <v>92</v>
      </c>
      <c r="D93" s="30">
        <f t="shared" si="5"/>
        <v>2</v>
      </c>
      <c r="E93" s="30">
        <v>1</v>
      </c>
      <c r="F93" s="31"/>
      <c r="G93" s="31"/>
      <c r="H93" s="30">
        <v>4</v>
      </c>
      <c r="I93" s="31">
        <v>170</v>
      </c>
      <c r="J93" s="31">
        <v>180</v>
      </c>
      <c r="K93" s="30">
        <v>-1</v>
      </c>
      <c r="L93" s="30">
        <v>-1</v>
      </c>
      <c r="M93" s="30">
        <v>-1</v>
      </c>
      <c r="N93" s="30">
        <v>-1</v>
      </c>
      <c r="O93" s="31"/>
      <c r="P93" s="31"/>
      <c r="Q93" s="30">
        <v>90</v>
      </c>
      <c r="R93" s="30">
        <v>18000</v>
      </c>
      <c r="S93" s="30">
        <v>90</v>
      </c>
      <c r="T93" s="30">
        <v>14000</v>
      </c>
      <c r="U93" s="31">
        <v>12</v>
      </c>
      <c r="V93" s="31"/>
      <c r="W93" s="30">
        <v>1</v>
      </c>
      <c r="X93" s="31"/>
      <c r="Y93" s="30">
        <v>0</v>
      </c>
      <c r="Z93" s="30">
        <v>0</v>
      </c>
      <c r="AA93" s="30">
        <v>0</v>
      </c>
      <c r="AB93" s="30">
        <f t="shared" si="3"/>
        <v>192</v>
      </c>
      <c r="AC93" s="31"/>
    </row>
    <row r="94" spans="1:29" x14ac:dyDescent="0.3">
      <c r="A94" s="30" t="s">
        <v>320</v>
      </c>
      <c r="B94" s="30" t="s">
        <v>210</v>
      </c>
      <c r="C94" s="30">
        <f t="shared" si="4"/>
        <v>93</v>
      </c>
      <c r="D94" s="30">
        <f t="shared" si="5"/>
        <v>1</v>
      </c>
      <c r="E94" s="30">
        <v>1</v>
      </c>
      <c r="F94" s="31"/>
      <c r="G94" s="31"/>
      <c r="H94" s="30">
        <v>4</v>
      </c>
      <c r="I94" s="31">
        <v>170</v>
      </c>
      <c r="J94" s="31">
        <v>180</v>
      </c>
      <c r="K94" s="30">
        <v>-1</v>
      </c>
      <c r="L94" s="30">
        <v>-1</v>
      </c>
      <c r="M94" s="30">
        <v>-1</v>
      </c>
      <c r="N94" s="30">
        <v>-1</v>
      </c>
      <c r="O94" s="31"/>
      <c r="P94" s="31"/>
      <c r="Q94" s="30">
        <v>90</v>
      </c>
      <c r="R94" s="30">
        <v>18000</v>
      </c>
      <c r="S94" s="30">
        <v>90</v>
      </c>
      <c r="T94" s="30">
        <v>14000</v>
      </c>
      <c r="U94" s="31">
        <v>12</v>
      </c>
      <c r="V94" s="31"/>
      <c r="W94" s="30">
        <v>1</v>
      </c>
      <c r="X94" s="31"/>
      <c r="Y94" s="30">
        <v>0</v>
      </c>
      <c r="Z94" s="30">
        <v>0</v>
      </c>
      <c r="AA94" s="30">
        <v>0</v>
      </c>
      <c r="AB94" s="30">
        <f t="shared" si="3"/>
        <v>193</v>
      </c>
      <c r="AC94" s="31"/>
    </row>
    <row r="95" spans="1:29" x14ac:dyDescent="0.3">
      <c r="A95" s="30" t="s">
        <v>320</v>
      </c>
      <c r="B95" s="30" t="s">
        <v>210</v>
      </c>
      <c r="C95" s="30">
        <f t="shared" si="4"/>
        <v>94</v>
      </c>
      <c r="D95" s="30">
        <f t="shared" si="5"/>
        <v>2</v>
      </c>
      <c r="E95" s="30">
        <v>1</v>
      </c>
      <c r="F95" s="31"/>
      <c r="G95" s="31"/>
      <c r="H95" s="30">
        <v>4</v>
      </c>
      <c r="I95" s="31">
        <v>170</v>
      </c>
      <c r="J95" s="31">
        <v>180</v>
      </c>
      <c r="K95" s="30">
        <v>-1</v>
      </c>
      <c r="L95" s="30">
        <v>-1</v>
      </c>
      <c r="M95" s="30">
        <v>-1</v>
      </c>
      <c r="N95" s="30">
        <v>-1</v>
      </c>
      <c r="O95" s="31"/>
      <c r="P95" s="31"/>
      <c r="Q95" s="30">
        <v>90</v>
      </c>
      <c r="R95" s="30">
        <v>18000</v>
      </c>
      <c r="S95" s="30">
        <v>90</v>
      </c>
      <c r="T95" s="30">
        <v>14000</v>
      </c>
      <c r="U95" s="31">
        <v>12</v>
      </c>
      <c r="V95" s="31"/>
      <c r="W95" s="30">
        <v>1</v>
      </c>
      <c r="X95" s="31"/>
      <c r="Y95" s="30">
        <v>0</v>
      </c>
      <c r="Z95" s="30">
        <v>0</v>
      </c>
      <c r="AA95" s="30">
        <v>0</v>
      </c>
      <c r="AB95" s="30">
        <f t="shared" si="3"/>
        <v>194</v>
      </c>
      <c r="AC95" s="31"/>
    </row>
    <row r="96" spans="1:29" x14ac:dyDescent="0.3">
      <c r="A96" s="30" t="s">
        <v>320</v>
      </c>
      <c r="B96" s="30" t="s">
        <v>210</v>
      </c>
      <c r="C96" s="30">
        <f t="shared" si="4"/>
        <v>95</v>
      </c>
      <c r="D96" s="30">
        <f t="shared" si="5"/>
        <v>1</v>
      </c>
      <c r="E96" s="30">
        <v>1</v>
      </c>
      <c r="F96" s="31"/>
      <c r="G96" s="31"/>
      <c r="H96" s="30">
        <v>4</v>
      </c>
      <c r="I96" s="31">
        <v>170</v>
      </c>
      <c r="J96" s="31">
        <v>180</v>
      </c>
      <c r="K96" s="30">
        <v>-1</v>
      </c>
      <c r="L96" s="30">
        <v>-1</v>
      </c>
      <c r="M96" s="30">
        <v>-1</v>
      </c>
      <c r="N96" s="30">
        <v>-1</v>
      </c>
      <c r="O96" s="31"/>
      <c r="P96" s="31"/>
      <c r="Q96" s="30">
        <v>90</v>
      </c>
      <c r="R96" s="30">
        <v>18000</v>
      </c>
      <c r="S96" s="30">
        <v>90</v>
      </c>
      <c r="T96" s="30">
        <v>14000</v>
      </c>
      <c r="U96" s="31">
        <v>12</v>
      </c>
      <c r="V96" s="31"/>
      <c r="W96" s="30">
        <v>1</v>
      </c>
      <c r="X96" s="31"/>
      <c r="Y96" s="30">
        <v>0</v>
      </c>
      <c r="Z96" s="30">
        <v>0</v>
      </c>
      <c r="AA96" s="30">
        <v>0</v>
      </c>
      <c r="AB96" s="30">
        <f t="shared" si="3"/>
        <v>195</v>
      </c>
      <c r="AC96" s="31"/>
    </row>
    <row r="97" spans="1:29" x14ac:dyDescent="0.3">
      <c r="A97" s="30" t="s">
        <v>320</v>
      </c>
      <c r="B97" s="30" t="s">
        <v>210</v>
      </c>
      <c r="C97" s="30">
        <f t="shared" si="4"/>
        <v>96</v>
      </c>
      <c r="D97" s="30">
        <f t="shared" si="5"/>
        <v>2</v>
      </c>
      <c r="E97" s="30">
        <v>1</v>
      </c>
      <c r="F97" s="31"/>
      <c r="G97" s="31"/>
      <c r="H97" s="30">
        <v>4</v>
      </c>
      <c r="I97" s="31">
        <v>170</v>
      </c>
      <c r="J97" s="31">
        <v>180</v>
      </c>
      <c r="K97" s="30">
        <v>-1</v>
      </c>
      <c r="L97" s="30">
        <v>-1</v>
      </c>
      <c r="M97" s="30">
        <v>-1</v>
      </c>
      <c r="N97" s="30">
        <v>-1</v>
      </c>
      <c r="O97" s="31"/>
      <c r="P97" s="31"/>
      <c r="Q97" s="30">
        <v>90</v>
      </c>
      <c r="R97" s="30">
        <v>18000</v>
      </c>
      <c r="S97" s="30">
        <v>90</v>
      </c>
      <c r="T97" s="30">
        <v>14000</v>
      </c>
      <c r="U97" s="31">
        <v>12</v>
      </c>
      <c r="V97" s="31"/>
      <c r="W97" s="30">
        <v>1</v>
      </c>
      <c r="X97" s="31"/>
      <c r="Y97" s="30">
        <v>0</v>
      </c>
      <c r="Z97" s="30">
        <v>0</v>
      </c>
      <c r="AA97" s="30">
        <v>0</v>
      </c>
      <c r="AB97" s="30">
        <f t="shared" si="3"/>
        <v>196</v>
      </c>
      <c r="AC97" s="31"/>
    </row>
    <row r="98" spans="1:29" x14ac:dyDescent="0.3">
      <c r="A98" s="30" t="s">
        <v>320</v>
      </c>
      <c r="B98" s="30" t="s">
        <v>210</v>
      </c>
      <c r="C98" s="30">
        <f t="shared" si="4"/>
        <v>97</v>
      </c>
      <c r="D98" s="30">
        <f t="shared" si="5"/>
        <v>1</v>
      </c>
      <c r="E98" s="30">
        <v>1</v>
      </c>
      <c r="F98" s="31"/>
      <c r="G98" s="31"/>
      <c r="H98" s="30">
        <v>4</v>
      </c>
      <c r="I98" s="31">
        <v>170</v>
      </c>
      <c r="J98" s="31">
        <v>180</v>
      </c>
      <c r="K98" s="30">
        <v>-1</v>
      </c>
      <c r="L98" s="30">
        <v>-1</v>
      </c>
      <c r="M98" s="30">
        <v>-1</v>
      </c>
      <c r="N98" s="30">
        <v>-1</v>
      </c>
      <c r="O98" s="31"/>
      <c r="P98" s="31"/>
      <c r="Q98" s="30">
        <v>90</v>
      </c>
      <c r="R98" s="30">
        <v>18000</v>
      </c>
      <c r="S98" s="30">
        <v>90</v>
      </c>
      <c r="T98" s="30">
        <v>14000</v>
      </c>
      <c r="U98" s="31">
        <v>12</v>
      </c>
      <c r="V98" s="31"/>
      <c r="W98" s="30">
        <v>1</v>
      </c>
      <c r="X98" s="31"/>
      <c r="Y98" s="30">
        <v>0</v>
      </c>
      <c r="Z98" s="30">
        <v>0</v>
      </c>
      <c r="AA98" s="30">
        <v>0</v>
      </c>
      <c r="AB98" s="30">
        <f t="shared" si="3"/>
        <v>197</v>
      </c>
      <c r="AC98" s="31"/>
    </row>
    <row r="99" spans="1:29" x14ac:dyDescent="0.3">
      <c r="A99" s="30" t="s">
        <v>320</v>
      </c>
      <c r="B99" s="30" t="s">
        <v>210</v>
      </c>
      <c r="C99" s="30">
        <f t="shared" si="4"/>
        <v>98</v>
      </c>
      <c r="D99" s="30">
        <f t="shared" si="5"/>
        <v>2</v>
      </c>
      <c r="E99" s="30">
        <v>1</v>
      </c>
      <c r="F99" s="31"/>
      <c r="G99" s="31"/>
      <c r="H99" s="30">
        <v>4</v>
      </c>
      <c r="I99" s="31">
        <v>170</v>
      </c>
      <c r="J99" s="31">
        <v>180</v>
      </c>
      <c r="K99" s="30">
        <v>-1</v>
      </c>
      <c r="L99" s="30">
        <v>-1</v>
      </c>
      <c r="M99" s="30">
        <v>-1</v>
      </c>
      <c r="N99" s="30">
        <v>-1</v>
      </c>
      <c r="O99" s="31"/>
      <c r="P99" s="31"/>
      <c r="Q99" s="30">
        <v>90</v>
      </c>
      <c r="R99" s="30">
        <v>18000</v>
      </c>
      <c r="S99" s="30">
        <v>90</v>
      </c>
      <c r="T99" s="30">
        <v>14000</v>
      </c>
      <c r="U99" s="31">
        <v>12</v>
      </c>
      <c r="V99" s="31"/>
      <c r="W99" s="30">
        <v>1</v>
      </c>
      <c r="X99" s="31"/>
      <c r="Y99" s="30">
        <v>0</v>
      </c>
      <c r="Z99" s="30">
        <v>0</v>
      </c>
      <c r="AA99" s="30">
        <v>0</v>
      </c>
      <c r="AB99" s="30">
        <f t="shared" si="3"/>
        <v>198</v>
      </c>
      <c r="AC99" s="31"/>
    </row>
    <row r="100" spans="1:29" x14ac:dyDescent="0.3">
      <c r="A100" s="30" t="s">
        <v>320</v>
      </c>
      <c r="B100" s="30" t="s">
        <v>210</v>
      </c>
      <c r="C100" s="30">
        <f t="shared" si="4"/>
        <v>99</v>
      </c>
      <c r="D100" s="30">
        <f t="shared" si="5"/>
        <v>1</v>
      </c>
      <c r="E100" s="30">
        <v>1</v>
      </c>
      <c r="F100" s="31"/>
      <c r="G100" s="31"/>
      <c r="H100" s="30">
        <v>4</v>
      </c>
      <c r="I100" s="31">
        <v>170</v>
      </c>
      <c r="J100" s="31">
        <v>180</v>
      </c>
      <c r="K100" s="30">
        <v>-1</v>
      </c>
      <c r="L100" s="30">
        <v>-1</v>
      </c>
      <c r="M100" s="30">
        <v>-1</v>
      </c>
      <c r="N100" s="30">
        <v>-1</v>
      </c>
      <c r="O100" s="31"/>
      <c r="P100" s="31"/>
      <c r="Q100" s="30">
        <v>90</v>
      </c>
      <c r="R100" s="30">
        <v>18000</v>
      </c>
      <c r="S100" s="30">
        <v>90</v>
      </c>
      <c r="T100" s="30">
        <v>14000</v>
      </c>
      <c r="U100" s="31">
        <v>12</v>
      </c>
      <c r="V100" s="31"/>
      <c r="W100" s="30">
        <v>1</v>
      </c>
      <c r="X100" s="31"/>
      <c r="Y100" s="30">
        <v>0</v>
      </c>
      <c r="Z100" s="30">
        <v>0</v>
      </c>
      <c r="AA100" s="30">
        <v>0</v>
      </c>
      <c r="AB100" s="30">
        <f t="shared" si="3"/>
        <v>199</v>
      </c>
      <c r="AC100" s="31"/>
    </row>
  </sheetData>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Dados</vt:lpstr>
      <vt:lpstr>Item Configuration</vt:lpstr>
      <vt:lpstr>Lvl-Stats Simulator</vt:lpstr>
      <vt:lpstr>Drop Configs</vt:lpstr>
      <vt:lpstr>Quest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DJGASSS</cp:lastModifiedBy>
  <dcterms:created xsi:type="dcterms:W3CDTF">2020-06-23T18:57:05Z</dcterms:created>
  <dcterms:modified xsi:type="dcterms:W3CDTF">2020-11-29T05:01:53Z</dcterms:modified>
</cp:coreProperties>
</file>